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I:\ASBURY AMERICA\FINANCE\2024 FY\Financial Statements\Board Reporting\08-2024-Aug\Supporting Documents\"/>
    </mc:Choice>
  </mc:AlternateContent>
  <xr:revisionPtr revIDLastSave="0" documentId="13_ncr:1_{D065C941-CC71-40E0-9268-CAC69BB5246D}" xr6:coauthVersionLast="47" xr6:coauthVersionMax="47" xr10:uidLastSave="{00000000-0000-0000-0000-000000000000}"/>
  <bookViews>
    <workbookView xWindow="-28920" yWindow="-180" windowWidth="29040" windowHeight="15840" xr2:uid="{00000000-000D-0000-FFFF-FFFF00000000}"/>
  </bookViews>
  <sheets>
    <sheet name="Occupancy" sheetId="1" r:id="rId1"/>
    <sheet name="Occupancy Level " sheetId="2" r:id="rId2"/>
    <sheet name="SNF Payer Mix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76" i="4" l="1"/>
  <c r="BR75" i="4"/>
  <c r="BR74" i="4"/>
  <c r="BR73" i="4"/>
  <c r="BR72" i="4"/>
  <c r="BR71" i="4"/>
  <c r="BR64" i="4"/>
  <c r="BR63" i="4"/>
  <c r="BR62" i="4"/>
  <c r="BR61" i="4"/>
  <c r="BR60" i="4"/>
  <c r="BR59" i="4"/>
  <c r="BR52" i="4"/>
  <c r="BR51" i="4"/>
  <c r="BR50" i="4"/>
  <c r="BR49" i="4"/>
  <c r="BR48" i="4"/>
  <c r="BR47" i="4"/>
  <c r="BR40" i="4"/>
  <c r="BR39" i="4"/>
  <c r="BR38" i="4"/>
  <c r="BR37" i="4"/>
  <c r="BR36" i="4"/>
  <c r="BR28" i="4"/>
  <c r="BR27" i="4"/>
  <c r="BR26" i="4"/>
  <c r="BR25" i="4"/>
  <c r="BR24" i="4"/>
  <c r="BR23" i="4"/>
  <c r="BR15" i="4"/>
  <c r="BR14" i="4"/>
  <c r="BR13" i="4"/>
  <c r="BR12" i="4"/>
  <c r="BR11" i="4"/>
  <c r="BR10" i="4"/>
  <c r="BR9" i="4"/>
  <c r="BQ76" i="4"/>
  <c r="BQ75" i="4"/>
  <c r="BQ74" i="4"/>
  <c r="BQ73" i="4"/>
  <c r="BQ72" i="4"/>
  <c r="BQ71" i="4"/>
  <c r="BQ64" i="4"/>
  <c r="BQ63" i="4"/>
  <c r="BQ62" i="4"/>
  <c r="BQ61" i="4"/>
  <c r="BQ60" i="4"/>
  <c r="BQ59" i="4"/>
  <c r="BQ52" i="4"/>
  <c r="BQ51" i="4"/>
  <c r="BQ50" i="4"/>
  <c r="BQ49" i="4"/>
  <c r="BQ48" i="4"/>
  <c r="BQ47" i="4"/>
  <c r="BQ40" i="4"/>
  <c r="BQ39" i="4"/>
  <c r="BQ38" i="4"/>
  <c r="BQ37" i="4"/>
  <c r="BQ36" i="4"/>
  <c r="BQ28" i="4"/>
  <c r="BQ27" i="4"/>
  <c r="BQ26" i="4"/>
  <c r="BQ25" i="4"/>
  <c r="BQ24" i="4"/>
  <c r="BQ23" i="4"/>
  <c r="BQ15" i="4"/>
  <c r="BQ14" i="4"/>
  <c r="BQ13" i="4"/>
  <c r="BQ12" i="4"/>
  <c r="BQ11" i="4"/>
  <c r="BQ10" i="4"/>
  <c r="BW10" i="4" s="1"/>
  <c r="BQ9" i="4"/>
  <c r="BL76" i="4"/>
  <c r="BL75" i="4"/>
  <c r="BL74" i="4"/>
  <c r="BL73" i="4"/>
  <c r="BL72" i="4"/>
  <c r="BL71" i="4"/>
  <c r="BK76" i="4"/>
  <c r="BK75" i="4"/>
  <c r="BK74" i="4"/>
  <c r="BK73" i="4"/>
  <c r="BK72" i="4"/>
  <c r="BK71" i="4"/>
  <c r="BL64" i="4"/>
  <c r="BL63" i="4"/>
  <c r="BL62" i="4"/>
  <c r="BL61" i="4"/>
  <c r="BL60" i="4"/>
  <c r="BL59" i="4"/>
  <c r="BK64" i="4"/>
  <c r="BK63" i="4"/>
  <c r="BK62" i="4"/>
  <c r="BK61" i="4"/>
  <c r="BK59" i="4"/>
  <c r="BK60" i="4"/>
  <c r="BL52" i="4"/>
  <c r="BL51" i="4"/>
  <c r="BL50" i="4"/>
  <c r="BL49" i="4"/>
  <c r="BL48" i="4"/>
  <c r="BL47" i="4"/>
  <c r="BK52" i="4"/>
  <c r="BK51" i="4"/>
  <c r="BK50" i="4"/>
  <c r="BK49" i="4"/>
  <c r="BK48" i="4"/>
  <c r="BK47" i="4"/>
  <c r="BL40" i="4"/>
  <c r="BL39" i="4"/>
  <c r="BL38" i="4"/>
  <c r="BL37" i="4"/>
  <c r="BL36" i="4"/>
  <c r="BK40" i="4"/>
  <c r="BK39" i="4"/>
  <c r="BK38" i="4"/>
  <c r="BK37" i="4"/>
  <c r="BK36" i="4"/>
  <c r="BL28" i="4"/>
  <c r="BL27" i="4"/>
  <c r="BL26" i="4"/>
  <c r="BL25" i="4"/>
  <c r="BL24" i="4"/>
  <c r="BL23" i="4"/>
  <c r="BK28" i="4"/>
  <c r="BK27" i="4"/>
  <c r="BK26" i="4"/>
  <c r="BK25" i="4"/>
  <c r="BK24" i="4"/>
  <c r="BK23" i="4"/>
  <c r="BL15" i="4"/>
  <c r="BL14" i="4"/>
  <c r="BL13" i="4"/>
  <c r="BL12" i="4"/>
  <c r="BL11" i="4"/>
  <c r="BL10" i="4"/>
  <c r="BL9" i="4"/>
  <c r="BK15" i="4"/>
  <c r="BK14" i="4"/>
  <c r="BK13" i="4"/>
  <c r="BK12" i="4"/>
  <c r="BK11" i="4"/>
  <c r="BK10" i="4"/>
  <c r="BK9" i="4"/>
  <c r="BF76" i="4"/>
  <c r="BF75" i="4"/>
  <c r="BF74" i="4"/>
  <c r="BF73" i="4"/>
  <c r="BF72" i="4"/>
  <c r="BF71" i="4"/>
  <c r="BE76" i="4"/>
  <c r="BE75" i="4"/>
  <c r="BE74" i="4"/>
  <c r="BE73" i="4"/>
  <c r="BE72" i="4"/>
  <c r="BE71" i="4"/>
  <c r="BF64" i="4"/>
  <c r="BF63" i="4"/>
  <c r="BF62" i="4"/>
  <c r="BF61" i="4"/>
  <c r="BF60" i="4"/>
  <c r="BF59" i="4"/>
  <c r="BE64" i="4"/>
  <c r="BE63" i="4"/>
  <c r="BE62" i="4"/>
  <c r="BE61" i="4"/>
  <c r="BE60" i="4"/>
  <c r="BE59" i="4"/>
  <c r="BF52" i="4"/>
  <c r="BF51" i="4"/>
  <c r="BF50" i="4"/>
  <c r="BF49" i="4"/>
  <c r="BF48" i="4"/>
  <c r="BF47" i="4"/>
  <c r="BE52" i="4"/>
  <c r="BE51" i="4"/>
  <c r="BE50" i="4"/>
  <c r="BE49" i="4"/>
  <c r="BE47" i="4"/>
  <c r="BE48" i="4"/>
  <c r="BF40" i="4"/>
  <c r="BF39" i="4"/>
  <c r="BF38" i="4"/>
  <c r="BF37" i="4"/>
  <c r="BF36" i="4"/>
  <c r="BE40" i="4"/>
  <c r="BE39" i="4"/>
  <c r="BE38" i="4"/>
  <c r="BE37" i="4"/>
  <c r="BE36" i="4"/>
  <c r="BF28" i="4"/>
  <c r="BF27" i="4"/>
  <c r="BF26" i="4"/>
  <c r="BF24" i="4"/>
  <c r="BE28" i="4"/>
  <c r="BE27" i="4"/>
  <c r="BE26" i="4"/>
  <c r="BE24" i="4"/>
  <c r="BF15" i="4"/>
  <c r="BF14" i="4"/>
  <c r="BF13" i="4"/>
  <c r="BF12" i="4"/>
  <c r="BF11" i="4"/>
  <c r="BF10" i="4"/>
  <c r="BF9" i="4"/>
  <c r="BE15" i="4"/>
  <c r="BE14" i="4"/>
  <c r="BE13" i="4"/>
  <c r="BE12" i="4"/>
  <c r="BE11" i="4"/>
  <c r="BE10" i="4"/>
  <c r="BE9" i="4"/>
  <c r="AR48" i="4"/>
  <c r="AR47" i="4"/>
  <c r="AR46" i="4"/>
  <c r="AR45" i="4"/>
  <c r="AR44" i="4"/>
  <c r="AR43" i="4"/>
  <c r="AR42" i="4"/>
  <c r="AR41" i="4"/>
  <c r="AR40" i="4"/>
  <c r="AR39" i="4"/>
  <c r="AR38" i="4"/>
  <c r="AR37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Q48" i="4"/>
  <c r="AQ47" i="4"/>
  <c r="AQ46" i="4"/>
  <c r="AQ45" i="4"/>
  <c r="AQ44" i="4"/>
  <c r="AQ43" i="4"/>
  <c r="AQ42" i="4"/>
  <c r="AQ41" i="4"/>
  <c r="AQ40" i="4"/>
  <c r="AQ39" i="4"/>
  <c r="AQ38" i="4"/>
  <c r="AQ37" i="4"/>
  <c r="AQ36" i="4"/>
  <c r="AQ35" i="4"/>
  <c r="AQ34" i="4"/>
  <c r="AQ33" i="4"/>
  <c r="AQ32" i="4"/>
  <c r="AQ31" i="4"/>
  <c r="AQ30" i="4"/>
  <c r="AQ29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AQ11" i="4"/>
  <c r="AQ10" i="4"/>
  <c r="AQ9" i="4"/>
  <c r="AQ8" i="4"/>
  <c r="AR7" i="4"/>
  <c r="AQ7" i="4"/>
  <c r="AR6" i="4"/>
  <c r="AQ6" i="4"/>
  <c r="C14" i="4"/>
  <c r="F14" i="4" s="1"/>
  <c r="C12" i="4"/>
  <c r="C13" i="4"/>
  <c r="C10" i="4"/>
  <c r="E10" i="4" s="1"/>
  <c r="C8" i="4"/>
  <c r="F8" i="4" s="1"/>
  <c r="C9" i="4"/>
  <c r="E9" i="4" s="1"/>
  <c r="C17" i="4"/>
  <c r="C25" i="4"/>
  <c r="E25" i="4" s="1"/>
  <c r="C23" i="4"/>
  <c r="F23" i="4" s="1"/>
  <c r="C32" i="4"/>
  <c r="F32" i="4" s="1"/>
  <c r="C29" i="4"/>
  <c r="E29" i="4" s="1"/>
  <c r="C39" i="4"/>
  <c r="F39" i="4" s="1"/>
  <c r="C37" i="4"/>
  <c r="E37" i="4" s="1"/>
  <c r="C48" i="4"/>
  <c r="F47" i="4"/>
  <c r="C44" i="4"/>
  <c r="F44" i="4" s="1"/>
  <c r="F48" i="4"/>
  <c r="E48" i="4"/>
  <c r="F46" i="4"/>
  <c r="E46" i="4"/>
  <c r="F45" i="4"/>
  <c r="E45" i="4"/>
  <c r="F43" i="4"/>
  <c r="E43" i="4"/>
  <c r="D42" i="4"/>
  <c r="F41" i="4"/>
  <c r="E41" i="4"/>
  <c r="F40" i="4"/>
  <c r="E40" i="4"/>
  <c r="F38" i="4"/>
  <c r="E38" i="4"/>
  <c r="F37" i="4"/>
  <c r="F36" i="4"/>
  <c r="E36" i="4"/>
  <c r="D35" i="4"/>
  <c r="C35" i="4"/>
  <c r="F35" i="4" s="1"/>
  <c r="F34" i="4"/>
  <c r="E34" i="4"/>
  <c r="F33" i="4"/>
  <c r="E33" i="4"/>
  <c r="F31" i="4"/>
  <c r="E31" i="4"/>
  <c r="F30" i="4"/>
  <c r="E30" i="4"/>
  <c r="D28" i="4"/>
  <c r="F27" i="4"/>
  <c r="E27" i="4"/>
  <c r="F26" i="4"/>
  <c r="E26" i="4"/>
  <c r="F25" i="4"/>
  <c r="F24" i="4"/>
  <c r="E24" i="4"/>
  <c r="D22" i="4"/>
  <c r="F21" i="4"/>
  <c r="E21" i="4"/>
  <c r="F20" i="4"/>
  <c r="E20" i="4"/>
  <c r="F19" i="4"/>
  <c r="E19" i="4"/>
  <c r="F18" i="4"/>
  <c r="E18" i="4"/>
  <c r="F17" i="4"/>
  <c r="E17" i="4"/>
  <c r="F16" i="4"/>
  <c r="E16" i="4"/>
  <c r="D15" i="4"/>
  <c r="C15" i="4"/>
  <c r="F13" i="4"/>
  <c r="E13" i="4"/>
  <c r="F12" i="4"/>
  <c r="E12" i="4"/>
  <c r="F11" i="4"/>
  <c r="E11" i="4"/>
  <c r="F10" i="4"/>
  <c r="D7" i="4"/>
  <c r="D24" i="2"/>
  <c r="D23" i="2"/>
  <c r="D22" i="2"/>
  <c r="D8" i="2"/>
  <c r="C22" i="2"/>
  <c r="C8" i="2"/>
  <c r="C8" i="1"/>
  <c r="AO8" i="1" s="1"/>
  <c r="C7" i="1"/>
  <c r="AO7" i="1" s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C12" i="1"/>
  <c r="F12" i="1" s="1"/>
  <c r="C16" i="1"/>
  <c r="C23" i="1"/>
  <c r="C27" i="1"/>
  <c r="F27" i="1" s="1"/>
  <c r="J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6" i="1"/>
  <c r="C11" i="1"/>
  <c r="F11" i="1" s="1"/>
  <c r="C15" i="1"/>
  <c r="C22" i="1"/>
  <c r="C26" i="1"/>
  <c r="C31" i="1"/>
  <c r="C29" i="1" s="1"/>
  <c r="C18" i="1"/>
  <c r="F18" i="1" s="1"/>
  <c r="D39" i="1"/>
  <c r="C39" i="1"/>
  <c r="F32" i="1"/>
  <c r="F31" i="1"/>
  <c r="F30" i="1"/>
  <c r="D29" i="1"/>
  <c r="F28" i="1"/>
  <c r="D25" i="1"/>
  <c r="F24" i="1"/>
  <c r="F23" i="1"/>
  <c r="D21" i="1"/>
  <c r="F20" i="1"/>
  <c r="F19" i="1"/>
  <c r="F17" i="1"/>
  <c r="F16" i="1"/>
  <c r="F15" i="1"/>
  <c r="D14" i="1"/>
  <c r="C14" i="1"/>
  <c r="F14" i="1" s="1"/>
  <c r="F13" i="1"/>
  <c r="D10" i="1"/>
  <c r="C10" i="1"/>
  <c r="F9" i="1"/>
  <c r="M6" i="1"/>
  <c r="O18" i="4"/>
  <c r="AH22" i="4"/>
  <c r="AG22" i="4"/>
  <c r="AC22" i="4"/>
  <c r="AB22" i="4"/>
  <c r="AD22" i="4" s="1"/>
  <c r="X22" i="4"/>
  <c r="S22" i="4"/>
  <c r="N22" i="4"/>
  <c r="AM28" i="4"/>
  <c r="AL28" i="4"/>
  <c r="AH28" i="4"/>
  <c r="AG28" i="4"/>
  <c r="AC28" i="4"/>
  <c r="AB28" i="4"/>
  <c r="X28" i="4"/>
  <c r="S28" i="4"/>
  <c r="N28" i="4"/>
  <c r="AM35" i="4"/>
  <c r="AL35" i="4"/>
  <c r="AH35" i="4"/>
  <c r="AG35" i="4"/>
  <c r="AC35" i="4"/>
  <c r="AB35" i="4"/>
  <c r="X35" i="4"/>
  <c r="W35" i="4"/>
  <c r="S35" i="4"/>
  <c r="R35" i="4"/>
  <c r="N35" i="4"/>
  <c r="AM42" i="4"/>
  <c r="AL42" i="4"/>
  <c r="AH42" i="4"/>
  <c r="AG42" i="4"/>
  <c r="AC42" i="4"/>
  <c r="AB42" i="4"/>
  <c r="X42" i="4"/>
  <c r="W42" i="4"/>
  <c r="S42" i="4"/>
  <c r="R42" i="4"/>
  <c r="N42" i="4"/>
  <c r="AM15" i="4"/>
  <c r="AL15" i="4"/>
  <c r="AH15" i="4"/>
  <c r="AC15" i="4"/>
  <c r="N7" i="4"/>
  <c r="I42" i="4"/>
  <c r="AD24" i="4"/>
  <c r="AD25" i="4"/>
  <c r="AD26" i="4"/>
  <c r="AD27" i="4"/>
  <c r="AD23" i="4"/>
  <c r="M25" i="4"/>
  <c r="H22" i="4"/>
  <c r="BW15" i="4" l="1"/>
  <c r="BW12" i="4"/>
  <c r="BW14" i="4"/>
  <c r="BW13" i="4"/>
  <c r="BW11" i="4"/>
  <c r="BW9" i="4"/>
  <c r="E15" i="4"/>
  <c r="E14" i="4"/>
  <c r="E8" i="4"/>
  <c r="F9" i="4"/>
  <c r="C7" i="4"/>
  <c r="E7" i="4" s="1"/>
  <c r="C22" i="4"/>
  <c r="E22" i="4" s="1"/>
  <c r="E23" i="4"/>
  <c r="E32" i="4"/>
  <c r="C28" i="4"/>
  <c r="F28" i="4" s="1"/>
  <c r="F29" i="4"/>
  <c r="E39" i="4"/>
  <c r="E47" i="4"/>
  <c r="E44" i="4"/>
  <c r="C42" i="4"/>
  <c r="F42" i="4" s="1"/>
  <c r="D6" i="4"/>
  <c r="F15" i="4"/>
  <c r="E35" i="4"/>
  <c r="AS18" i="4"/>
  <c r="C6" i="1"/>
  <c r="AO6" i="1" s="1"/>
  <c r="F8" i="1"/>
  <c r="F7" i="1"/>
  <c r="C21" i="1"/>
  <c r="C5" i="1" s="1"/>
  <c r="AO5" i="1" s="1"/>
  <c r="C25" i="1"/>
  <c r="F10" i="1"/>
  <c r="F22" i="1"/>
  <c r="F25" i="1"/>
  <c r="F29" i="1"/>
  <c r="D37" i="1"/>
  <c r="D41" i="1" s="1"/>
  <c r="F39" i="1"/>
  <c r="D35" i="1"/>
  <c r="F21" i="1"/>
  <c r="C37" i="1"/>
  <c r="D5" i="1"/>
  <c r="F26" i="1"/>
  <c r="H42" i="4"/>
  <c r="I35" i="4"/>
  <c r="I28" i="4"/>
  <c r="I22" i="4"/>
  <c r="K9" i="4"/>
  <c r="K10" i="4"/>
  <c r="K11" i="4"/>
  <c r="K12" i="4"/>
  <c r="K13" i="4"/>
  <c r="J18" i="4"/>
  <c r="X15" i="4"/>
  <c r="S15" i="4"/>
  <c r="N15" i="4"/>
  <c r="I15" i="4"/>
  <c r="M7" i="4"/>
  <c r="J9" i="4"/>
  <c r="J10" i="4"/>
  <c r="J11" i="4"/>
  <c r="J12" i="4"/>
  <c r="J13" i="4"/>
  <c r="J14" i="4"/>
  <c r="J8" i="4"/>
  <c r="I7" i="4"/>
  <c r="H7" i="4"/>
  <c r="K14" i="4" s="1"/>
  <c r="J47" i="4"/>
  <c r="J45" i="4"/>
  <c r="J41" i="4"/>
  <c r="J40" i="4"/>
  <c r="J39" i="4"/>
  <c r="J38" i="4"/>
  <c r="J36" i="4"/>
  <c r="H35" i="4"/>
  <c r="K35" i="4" s="1"/>
  <c r="J34" i="4"/>
  <c r="J33" i="4"/>
  <c r="J32" i="4"/>
  <c r="J31" i="4"/>
  <c r="J30" i="4"/>
  <c r="J29" i="4"/>
  <c r="J27" i="4"/>
  <c r="J26" i="4"/>
  <c r="J25" i="4"/>
  <c r="J24" i="4"/>
  <c r="K27" i="4"/>
  <c r="J21" i="4"/>
  <c r="J20" i="4"/>
  <c r="J19" i="4"/>
  <c r="J17" i="4"/>
  <c r="J16" i="4"/>
  <c r="H15" i="4"/>
  <c r="K15" i="4" s="1"/>
  <c r="BP67" i="4"/>
  <c r="BP80" i="4"/>
  <c r="BP55" i="4"/>
  <c r="BP43" i="4"/>
  <c r="BP31" i="4"/>
  <c r="BP19" i="4"/>
  <c r="BR84" i="4"/>
  <c r="BQ86" i="4"/>
  <c r="BR86" i="4"/>
  <c r="BR89" i="4"/>
  <c r="BR65" i="4"/>
  <c r="BQ65" i="4"/>
  <c r="BS58" i="4" s="1"/>
  <c r="BQ53" i="4"/>
  <c r="BS51" i="4" s="1"/>
  <c r="BR41" i="4"/>
  <c r="BT39" i="4" s="1"/>
  <c r="BQ29" i="4"/>
  <c r="BS25" i="4" s="1"/>
  <c r="BR29" i="4"/>
  <c r="BQ89" i="4"/>
  <c r="BR88" i="4"/>
  <c r="BQ88" i="4"/>
  <c r="BR87" i="4"/>
  <c r="BR85" i="4"/>
  <c r="BQ84" i="4"/>
  <c r="BR16" i="4"/>
  <c r="BT16" i="4" s="1"/>
  <c r="BQ16" i="4"/>
  <c r="H31" i="1"/>
  <c r="U12" i="1"/>
  <c r="H26" i="1"/>
  <c r="P32" i="1"/>
  <c r="K32" i="1"/>
  <c r="K9" i="1"/>
  <c r="K8" i="1"/>
  <c r="K7" i="1"/>
  <c r="K18" i="1"/>
  <c r="K19" i="1"/>
  <c r="K20" i="1"/>
  <c r="K28" i="1"/>
  <c r="H22" i="1"/>
  <c r="U24" i="1"/>
  <c r="P24" i="1"/>
  <c r="K24" i="1"/>
  <c r="M15" i="1"/>
  <c r="H15" i="1"/>
  <c r="K15" i="1" s="1"/>
  <c r="Z17" i="1"/>
  <c r="U17" i="1"/>
  <c r="P17" i="1"/>
  <c r="K17" i="1"/>
  <c r="H11" i="1"/>
  <c r="AH13" i="1"/>
  <c r="AD13" i="1"/>
  <c r="Z13" i="1"/>
  <c r="U13" i="1"/>
  <c r="K13" i="1"/>
  <c r="J32" i="1"/>
  <c r="J31" i="1"/>
  <c r="J30" i="1"/>
  <c r="J28" i="1"/>
  <c r="J27" i="1"/>
  <c r="J26" i="1"/>
  <c r="J24" i="1"/>
  <c r="J23" i="1"/>
  <c r="J22" i="1"/>
  <c r="J20" i="1"/>
  <c r="J19" i="1"/>
  <c r="J18" i="1"/>
  <c r="J17" i="1"/>
  <c r="J16" i="1"/>
  <c r="J15" i="1"/>
  <c r="J11" i="1"/>
  <c r="J9" i="1"/>
  <c r="J8" i="1"/>
  <c r="J7" i="1"/>
  <c r="J12" i="1"/>
  <c r="J13" i="1"/>
  <c r="I39" i="1"/>
  <c r="H39" i="1"/>
  <c r="I6" i="1"/>
  <c r="H6" i="1"/>
  <c r="K30" i="1"/>
  <c r="I29" i="1"/>
  <c r="J29" i="1" s="1"/>
  <c r="H29" i="1"/>
  <c r="I25" i="1"/>
  <c r="J25" i="1" s="1"/>
  <c r="K23" i="1"/>
  <c r="K22" i="1"/>
  <c r="I21" i="1"/>
  <c r="J21" i="1" s="1"/>
  <c r="H21" i="1"/>
  <c r="K16" i="1"/>
  <c r="I14" i="1"/>
  <c r="J14" i="1" s="1"/>
  <c r="H14" i="1"/>
  <c r="K12" i="1"/>
  <c r="W16" i="1"/>
  <c r="Z16" i="1" s="1"/>
  <c r="R16" i="1"/>
  <c r="U16" i="1" s="1"/>
  <c r="M16" i="1"/>
  <c r="P31" i="1"/>
  <c r="P30" i="1"/>
  <c r="P26" i="1"/>
  <c r="U23" i="1"/>
  <c r="P23" i="1"/>
  <c r="U22" i="1"/>
  <c r="P22" i="1"/>
  <c r="Z15" i="1"/>
  <c r="U15" i="1"/>
  <c r="AH12" i="1"/>
  <c r="F22" i="4" l="1"/>
  <c r="E28" i="4"/>
  <c r="C6" i="4"/>
  <c r="E6" i="4" s="1"/>
  <c r="E42" i="4"/>
  <c r="O7" i="4"/>
  <c r="K8" i="4"/>
  <c r="C35" i="1"/>
  <c r="F6" i="1"/>
  <c r="F35" i="1"/>
  <c r="F37" i="1"/>
  <c r="C41" i="1"/>
  <c r="F41" i="1" s="1"/>
  <c r="D43" i="1"/>
  <c r="F5" i="1"/>
  <c r="K26" i="1"/>
  <c r="K31" i="1"/>
  <c r="K11" i="1"/>
  <c r="P16" i="1"/>
  <c r="J6" i="1"/>
  <c r="K42" i="4"/>
  <c r="K45" i="4"/>
  <c r="K48" i="4"/>
  <c r="K44" i="4"/>
  <c r="K46" i="4"/>
  <c r="K47" i="4"/>
  <c r="K43" i="4"/>
  <c r="J43" i="4"/>
  <c r="K37" i="4"/>
  <c r="K36" i="4"/>
  <c r="K41" i="4"/>
  <c r="K39" i="4"/>
  <c r="K40" i="4"/>
  <c r="K38" i="4"/>
  <c r="K26" i="4"/>
  <c r="K25" i="4"/>
  <c r="K24" i="4"/>
  <c r="K22" i="4"/>
  <c r="K23" i="4"/>
  <c r="K16" i="4"/>
  <c r="K21" i="4"/>
  <c r="K20" i="4"/>
  <c r="K19" i="4"/>
  <c r="K18" i="4"/>
  <c r="K17" i="4"/>
  <c r="BS28" i="4"/>
  <c r="I6" i="4"/>
  <c r="J7" i="4"/>
  <c r="J22" i="4"/>
  <c r="J42" i="4"/>
  <c r="J46" i="4"/>
  <c r="J15" i="4"/>
  <c r="J23" i="4"/>
  <c r="J37" i="4"/>
  <c r="H28" i="4"/>
  <c r="J44" i="4"/>
  <c r="J35" i="4"/>
  <c r="J48" i="4"/>
  <c r="BS23" i="4"/>
  <c r="BS49" i="4"/>
  <c r="BS26" i="4"/>
  <c r="BS27" i="4"/>
  <c r="BQ87" i="4"/>
  <c r="BQ77" i="4"/>
  <c r="BS72" i="4" s="1"/>
  <c r="BT24" i="4"/>
  <c r="BT22" i="4"/>
  <c r="BT23" i="4"/>
  <c r="BT29" i="4"/>
  <c r="BT25" i="4"/>
  <c r="BT28" i="4"/>
  <c r="BS63" i="4"/>
  <c r="BS60" i="4"/>
  <c r="BS64" i="4"/>
  <c r="BT41" i="4"/>
  <c r="BT35" i="4"/>
  <c r="BT34" i="4"/>
  <c r="BT40" i="4"/>
  <c r="BT60" i="4"/>
  <c r="BT26" i="4"/>
  <c r="BS48" i="4"/>
  <c r="BS52" i="4"/>
  <c r="BS46" i="4"/>
  <c r="BS50" i="4"/>
  <c r="BS61" i="4"/>
  <c r="BS11" i="4"/>
  <c r="BT37" i="4"/>
  <c r="BT27" i="4"/>
  <c r="BS62" i="4"/>
  <c r="BT64" i="4"/>
  <c r="BT62" i="4"/>
  <c r="BT58" i="4"/>
  <c r="BT65" i="4"/>
  <c r="BT63" i="4"/>
  <c r="BT61" i="4"/>
  <c r="BT59" i="4"/>
  <c r="BT38" i="4"/>
  <c r="BS15" i="4"/>
  <c r="BT9" i="4"/>
  <c r="BT11" i="4"/>
  <c r="BT13" i="4"/>
  <c r="BT15" i="4"/>
  <c r="BT36" i="4"/>
  <c r="BR53" i="4"/>
  <c r="BR83" i="4"/>
  <c r="BS22" i="4"/>
  <c r="BS9" i="4"/>
  <c r="BQ83" i="4"/>
  <c r="BQ41" i="4"/>
  <c r="BS36" i="4" s="1"/>
  <c r="BS47" i="4"/>
  <c r="BS24" i="4"/>
  <c r="BS59" i="4"/>
  <c r="BQ85" i="4"/>
  <c r="BS13" i="4"/>
  <c r="BS10" i="4"/>
  <c r="BS12" i="4"/>
  <c r="BS14" i="4"/>
  <c r="BT10" i="4"/>
  <c r="BT12" i="4"/>
  <c r="BT14" i="4"/>
  <c r="BR77" i="4"/>
  <c r="BT73" i="4" s="1"/>
  <c r="H25" i="1"/>
  <c r="H35" i="1" s="1"/>
  <c r="K39" i="1"/>
  <c r="H10" i="1"/>
  <c r="K21" i="1"/>
  <c r="K14" i="1"/>
  <c r="K29" i="1"/>
  <c r="K27" i="1"/>
  <c r="I10" i="1"/>
  <c r="J10" i="1" s="1"/>
  <c r="AD12" i="1"/>
  <c r="Z12" i="1"/>
  <c r="P12" i="1"/>
  <c r="AH11" i="1"/>
  <c r="AD11" i="1"/>
  <c r="Z11" i="1"/>
  <c r="U11" i="1"/>
  <c r="P11" i="1"/>
  <c r="C43" i="1" l="1"/>
  <c r="F43" i="1"/>
  <c r="K25" i="1"/>
  <c r="BS65" i="4"/>
  <c r="K30" i="4"/>
  <c r="K31" i="4"/>
  <c r="K32" i="4"/>
  <c r="K33" i="4"/>
  <c r="K28" i="4"/>
  <c r="K34" i="4"/>
  <c r="K29" i="4"/>
  <c r="J28" i="4"/>
  <c r="H6" i="4"/>
  <c r="BS71" i="4"/>
  <c r="BT74" i="4"/>
  <c r="BS75" i="4"/>
  <c r="BS70" i="4"/>
  <c r="BS73" i="4"/>
  <c r="BS76" i="4"/>
  <c r="BS74" i="4"/>
  <c r="BT72" i="4"/>
  <c r="BT75" i="4"/>
  <c r="BT71" i="4"/>
  <c r="BS39" i="4"/>
  <c r="BS37" i="4"/>
  <c r="BT46" i="4"/>
  <c r="BT53" i="4"/>
  <c r="BT48" i="4"/>
  <c r="BT51" i="4"/>
  <c r="BT47" i="4"/>
  <c r="BS40" i="4"/>
  <c r="BT52" i="4"/>
  <c r="BS16" i="4"/>
  <c r="BS38" i="4"/>
  <c r="BS53" i="4"/>
  <c r="BS35" i="4"/>
  <c r="BS34" i="4"/>
  <c r="BQ90" i="4"/>
  <c r="BS83" i="4" s="1"/>
  <c r="BT50" i="4"/>
  <c r="BS29" i="4"/>
  <c r="BT77" i="4"/>
  <c r="BT70" i="4"/>
  <c r="BR90" i="4"/>
  <c r="BT83" i="4" s="1"/>
  <c r="BT76" i="4"/>
  <c r="BT49" i="4"/>
  <c r="H5" i="1"/>
  <c r="H37" i="1"/>
  <c r="H41" i="1" s="1"/>
  <c r="H43" i="1" s="1"/>
  <c r="I37" i="1"/>
  <c r="I35" i="1"/>
  <c r="K35" i="1" s="1"/>
  <c r="I5" i="1"/>
  <c r="K10" i="1"/>
  <c r="P15" i="1"/>
  <c r="Z24" i="1"/>
  <c r="Z23" i="1"/>
  <c r="Z22" i="1"/>
  <c r="J6" i="4" l="1"/>
  <c r="BQ93" i="4"/>
  <c r="BS77" i="4"/>
  <c r="BT90" i="4"/>
  <c r="BT86" i="4"/>
  <c r="BT89" i="4"/>
  <c r="BT87" i="4"/>
  <c r="BT88" i="4"/>
  <c r="BT84" i="4"/>
  <c r="BT85" i="4"/>
  <c r="BS41" i="4"/>
  <c r="BS87" i="4"/>
  <c r="BS88" i="4"/>
  <c r="BS89" i="4"/>
  <c r="BS84" i="4"/>
  <c r="BS86" i="4"/>
  <c r="BS85" i="4"/>
  <c r="I41" i="1"/>
  <c r="K37" i="1"/>
  <c r="K5" i="1"/>
  <c r="BL83" i="4"/>
  <c r="BK83" i="4"/>
  <c r="BE83" i="4"/>
  <c r="AM6" i="4"/>
  <c r="AL6" i="4"/>
  <c r="AH6" i="4"/>
  <c r="AC6" i="4"/>
  <c r="X6" i="4"/>
  <c r="S6" i="4"/>
  <c r="BF83" i="4"/>
  <c r="BF87" i="4"/>
  <c r="BK98" i="4" l="1"/>
  <c r="AY9" i="4" s="1"/>
  <c r="BL98" i="4"/>
  <c r="AZ9" i="4" s="1"/>
  <c r="BK84" i="4"/>
  <c r="BL87" i="4"/>
  <c r="BL102" i="4" s="1"/>
  <c r="AZ13" i="4" s="1"/>
  <c r="BF86" i="4"/>
  <c r="AN6" i="4"/>
  <c r="BF88" i="4"/>
  <c r="BE84" i="4"/>
  <c r="BF85" i="4"/>
  <c r="BL86" i="4"/>
  <c r="BE85" i="4"/>
  <c r="BL84" i="4"/>
  <c r="BE88" i="4"/>
  <c r="BF89" i="4"/>
  <c r="BL88" i="4"/>
  <c r="BK88" i="4"/>
  <c r="BE86" i="4"/>
  <c r="BF29" i="4"/>
  <c r="BH27" i="4" s="1"/>
  <c r="BL29" i="4"/>
  <c r="BN27" i="4" s="1"/>
  <c r="BK86" i="4"/>
  <c r="BL89" i="4"/>
  <c r="BE89" i="4"/>
  <c r="BF84" i="4"/>
  <c r="BL85" i="4"/>
  <c r="BS90" i="4"/>
  <c r="I43" i="1"/>
  <c r="K41" i="1"/>
  <c r="K43" i="1" s="1"/>
  <c r="BK29" i="4"/>
  <c r="BM24" i="4" s="1"/>
  <c r="BE41" i="4"/>
  <c r="BG39" i="4" s="1"/>
  <c r="BE77" i="4"/>
  <c r="BG70" i="4" s="1"/>
  <c r="BF77" i="4"/>
  <c r="BH77" i="4" s="1"/>
  <c r="BL77" i="4"/>
  <c r="BN77" i="4" s="1"/>
  <c r="BE65" i="4"/>
  <c r="BG61" i="4" s="1"/>
  <c r="BF65" i="4"/>
  <c r="BH58" i="4" s="1"/>
  <c r="BL65" i="4"/>
  <c r="BN59" i="4" s="1"/>
  <c r="BE53" i="4"/>
  <c r="BG51" i="4" s="1"/>
  <c r="BF53" i="4"/>
  <c r="BH53" i="4" s="1"/>
  <c r="BL53" i="4"/>
  <c r="BN53" i="4" s="1"/>
  <c r="BF41" i="4"/>
  <c r="BH41" i="4" s="1"/>
  <c r="BL41" i="4"/>
  <c r="BN41" i="4" s="1"/>
  <c r="BN23" i="4" l="1"/>
  <c r="BN24" i="4"/>
  <c r="BN26" i="4"/>
  <c r="BL101" i="4"/>
  <c r="AZ12" i="4" s="1"/>
  <c r="BN29" i="4"/>
  <c r="BH24" i="4"/>
  <c r="BH26" i="4"/>
  <c r="BH22" i="4"/>
  <c r="BH28" i="4"/>
  <c r="BH29" i="4"/>
  <c r="BL99" i="4"/>
  <c r="AZ10" i="4" s="1"/>
  <c r="BK99" i="4"/>
  <c r="AY10" i="4" s="1"/>
  <c r="BK101" i="4"/>
  <c r="AY12" i="4" s="1"/>
  <c r="BF90" i="4"/>
  <c r="BH88" i="4" s="1"/>
  <c r="BL104" i="4"/>
  <c r="AZ15" i="4" s="1"/>
  <c r="BK103" i="4"/>
  <c r="AY14" i="4" s="1"/>
  <c r="BL103" i="4"/>
  <c r="AZ14" i="4" s="1"/>
  <c r="BL100" i="4"/>
  <c r="AZ11" i="4" s="1"/>
  <c r="BG34" i="4"/>
  <c r="BG37" i="4"/>
  <c r="BN38" i="4"/>
  <c r="BN28" i="4"/>
  <c r="BH23" i="4"/>
  <c r="BL90" i="4"/>
  <c r="BN84" i="4" s="1"/>
  <c r="BN22" i="4"/>
  <c r="BN25" i="4"/>
  <c r="BH25" i="4"/>
  <c r="BG40" i="4"/>
  <c r="BN40" i="4"/>
  <c r="BM25" i="4"/>
  <c r="BM23" i="4"/>
  <c r="BM28" i="4"/>
  <c r="BM27" i="4"/>
  <c r="BM26" i="4"/>
  <c r="BM22" i="4"/>
  <c r="BH74" i="4"/>
  <c r="BH76" i="4"/>
  <c r="BH71" i="4"/>
  <c r="BG75" i="4"/>
  <c r="BH38" i="4"/>
  <c r="BH40" i="4"/>
  <c r="BH36" i="4"/>
  <c r="BG38" i="4"/>
  <c r="BG36" i="4"/>
  <c r="BG35" i="4"/>
  <c r="BN50" i="4"/>
  <c r="BN48" i="4"/>
  <c r="BN46" i="4"/>
  <c r="BN60" i="4"/>
  <c r="BN58" i="4"/>
  <c r="BN61" i="4"/>
  <c r="BN70" i="4"/>
  <c r="BH73" i="4"/>
  <c r="BG73" i="4"/>
  <c r="BG60" i="4"/>
  <c r="BN37" i="4"/>
  <c r="BN36" i="4"/>
  <c r="BN34" i="4"/>
  <c r="BH34" i="4"/>
  <c r="BH72" i="4"/>
  <c r="BN73" i="4"/>
  <c r="BG76" i="4"/>
  <c r="BG71" i="4"/>
  <c r="BH70" i="4"/>
  <c r="BN71" i="4"/>
  <c r="BG74" i="4"/>
  <c r="BN76" i="4"/>
  <c r="BG72" i="4"/>
  <c r="BN74" i="4"/>
  <c r="BN75" i="4"/>
  <c r="BH75" i="4"/>
  <c r="BN72" i="4"/>
  <c r="BG59" i="4"/>
  <c r="BG58" i="4"/>
  <c r="BH65" i="4"/>
  <c r="BH64" i="4"/>
  <c r="BH63" i="4"/>
  <c r="BH62" i="4"/>
  <c r="BH61" i="4"/>
  <c r="BH60" i="4"/>
  <c r="BH59" i="4"/>
  <c r="BG63" i="4"/>
  <c r="BG64" i="4"/>
  <c r="BN65" i="4"/>
  <c r="BN64" i="4"/>
  <c r="BN63" i="4"/>
  <c r="BN62" i="4"/>
  <c r="BG62" i="4"/>
  <c r="BG50" i="4"/>
  <c r="BH48" i="4"/>
  <c r="BG52" i="4"/>
  <c r="BG49" i="4"/>
  <c r="BH46" i="4"/>
  <c r="BN51" i="4"/>
  <c r="BG48" i="4"/>
  <c r="BG47" i="4"/>
  <c r="BG46" i="4"/>
  <c r="BH47" i="4"/>
  <c r="BH51" i="4"/>
  <c r="BH52" i="4"/>
  <c r="BN49" i="4"/>
  <c r="BH49" i="4"/>
  <c r="BN52" i="4"/>
  <c r="BH50" i="4"/>
  <c r="BN47" i="4"/>
  <c r="BN39" i="4"/>
  <c r="BH37" i="4"/>
  <c r="BH39" i="4"/>
  <c r="BN35" i="4"/>
  <c r="BH35" i="4"/>
  <c r="BH86" i="4" l="1"/>
  <c r="BH85" i="4"/>
  <c r="BH87" i="4"/>
  <c r="BH83" i="4"/>
  <c r="BH89" i="4"/>
  <c r="BH90" i="4"/>
  <c r="BH84" i="4"/>
  <c r="BN88" i="4"/>
  <c r="BN83" i="4"/>
  <c r="BN85" i="4"/>
  <c r="BL105" i="4"/>
  <c r="BN105" i="4" s="1"/>
  <c r="BG41" i="4"/>
  <c r="BN90" i="4"/>
  <c r="BN86" i="4"/>
  <c r="BN89" i="4"/>
  <c r="BN87" i="4"/>
  <c r="BM29" i="4"/>
  <c r="BG77" i="4"/>
  <c r="BG65" i="4"/>
  <c r="BG53" i="4"/>
  <c r="BN99" i="4" l="1"/>
  <c r="BN104" i="4"/>
  <c r="BN101" i="4"/>
  <c r="BN103" i="4"/>
  <c r="BN100" i="4"/>
  <c r="BN102" i="4"/>
  <c r="BN98" i="4"/>
  <c r="BL16" i="4"/>
  <c r="BN16" i="4" s="1"/>
  <c r="BE16" i="4"/>
  <c r="M46" i="4"/>
  <c r="O48" i="4"/>
  <c r="O39" i="4"/>
  <c r="W32" i="4"/>
  <c r="R32" i="4"/>
  <c r="M32" i="4"/>
  <c r="O30" i="4"/>
  <c r="W25" i="4"/>
  <c r="Y23" i="4"/>
  <c r="R25" i="4"/>
  <c r="T23" i="4"/>
  <c r="AG19" i="4"/>
  <c r="AB15" i="4"/>
  <c r="W15" i="4"/>
  <c r="R15" i="4"/>
  <c r="O16" i="4"/>
  <c r="O17" i="4"/>
  <c r="AS41" i="4"/>
  <c r="AI21" i="4"/>
  <c r="AI20" i="4"/>
  <c r="AI16" i="4"/>
  <c r="AD21" i="4"/>
  <c r="AD20" i="4"/>
  <c r="AD19" i="4"/>
  <c r="AD16" i="4"/>
  <c r="Y34" i="4"/>
  <c r="Y33" i="4"/>
  <c r="Y32" i="4"/>
  <c r="Y31" i="4"/>
  <c r="Y29" i="4"/>
  <c r="Y27" i="4"/>
  <c r="Y26" i="4"/>
  <c r="Y24" i="4"/>
  <c r="Y21" i="4"/>
  <c r="Y20" i="4"/>
  <c r="Y19" i="4"/>
  <c r="Y16" i="4"/>
  <c r="T34" i="4"/>
  <c r="T33" i="4"/>
  <c r="T32" i="4"/>
  <c r="T31" i="4"/>
  <c r="T29" i="4"/>
  <c r="T27" i="4"/>
  <c r="T26" i="4"/>
  <c r="T24" i="4"/>
  <c r="T21" i="4"/>
  <c r="T20" i="4"/>
  <c r="T19" i="4"/>
  <c r="T16" i="4"/>
  <c r="N6" i="4"/>
  <c r="O19" i="4"/>
  <c r="O20" i="4"/>
  <c r="O21" i="4"/>
  <c r="O24" i="4"/>
  <c r="O26" i="4"/>
  <c r="O27" i="4"/>
  <c r="O31" i="4"/>
  <c r="O33" i="4"/>
  <c r="O34" i="4"/>
  <c r="O36" i="4"/>
  <c r="O38" i="4"/>
  <c r="O40" i="4"/>
  <c r="O41" i="4"/>
  <c r="O43" i="4"/>
  <c r="O44" i="4"/>
  <c r="O45" i="4"/>
  <c r="O46" i="4"/>
  <c r="O47" i="4"/>
  <c r="M15" i="4"/>
  <c r="D20" i="2"/>
  <c r="D21" i="2"/>
  <c r="C20" i="2"/>
  <c r="D7" i="2"/>
  <c r="C12" i="2"/>
  <c r="E24" i="2"/>
  <c r="E23" i="2"/>
  <c r="E22" i="2"/>
  <c r="J20" i="2"/>
  <c r="I20" i="2"/>
  <c r="E9" i="2"/>
  <c r="E8" i="2"/>
  <c r="J6" i="2"/>
  <c r="I6" i="2"/>
  <c r="AP39" i="1"/>
  <c r="AO39" i="1"/>
  <c r="AK39" i="1"/>
  <c r="AJ39" i="1"/>
  <c r="AK37" i="1"/>
  <c r="AK41" i="1" s="1"/>
  <c r="AK43" i="1" s="1"/>
  <c r="AJ37" i="1"/>
  <c r="AM37" i="1" s="1"/>
  <c r="AK35" i="1"/>
  <c r="AM35" i="1" s="1"/>
  <c r="AJ35" i="1"/>
  <c r="AG39" i="1"/>
  <c r="AF39" i="1"/>
  <c r="AC39" i="1"/>
  <c r="AB39" i="1"/>
  <c r="AD39" i="1" s="1"/>
  <c r="X39" i="1"/>
  <c r="W39" i="1"/>
  <c r="Z39" i="1" s="1"/>
  <c r="S39" i="1"/>
  <c r="R39" i="1"/>
  <c r="N39" i="1"/>
  <c r="M39" i="1"/>
  <c r="P39" i="1" s="1"/>
  <c r="N28" i="1"/>
  <c r="N13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5" i="1"/>
  <c r="Y6" i="1"/>
  <c r="Y7" i="1"/>
  <c r="Y8" i="1"/>
  <c r="Y9" i="1"/>
  <c r="Y11" i="1"/>
  <c r="Y12" i="1"/>
  <c r="Y13" i="1"/>
  <c r="Y15" i="1"/>
  <c r="Y16" i="1"/>
  <c r="Y17" i="1"/>
  <c r="Y18" i="1"/>
  <c r="Y19" i="1"/>
  <c r="Y20" i="1"/>
  <c r="Y22" i="1"/>
  <c r="Y23" i="1"/>
  <c r="Y24" i="1"/>
  <c r="Y25" i="1"/>
  <c r="Y26" i="1"/>
  <c r="Y27" i="1"/>
  <c r="Y28" i="1"/>
  <c r="Y29" i="1"/>
  <c r="Y30" i="1"/>
  <c r="Y31" i="1"/>
  <c r="Y32" i="1"/>
  <c r="T6" i="1"/>
  <c r="T7" i="1"/>
  <c r="T8" i="1"/>
  <c r="T9" i="1"/>
  <c r="T11" i="1"/>
  <c r="T12" i="1"/>
  <c r="T13" i="1"/>
  <c r="T15" i="1"/>
  <c r="T16" i="1"/>
  <c r="T17" i="1"/>
  <c r="T18" i="1"/>
  <c r="T19" i="1"/>
  <c r="T20" i="1"/>
  <c r="T22" i="1"/>
  <c r="T23" i="1"/>
  <c r="T24" i="1"/>
  <c r="T25" i="1"/>
  <c r="T26" i="1"/>
  <c r="T27" i="1"/>
  <c r="T28" i="1"/>
  <c r="T29" i="1"/>
  <c r="T30" i="1"/>
  <c r="T31" i="1"/>
  <c r="T32" i="1"/>
  <c r="O6" i="1"/>
  <c r="O7" i="1"/>
  <c r="O8" i="1"/>
  <c r="O9" i="1"/>
  <c r="O11" i="1"/>
  <c r="O12" i="1"/>
  <c r="O13" i="1"/>
  <c r="O15" i="1"/>
  <c r="O16" i="1"/>
  <c r="O17" i="1"/>
  <c r="O18" i="1"/>
  <c r="O19" i="1"/>
  <c r="O20" i="1"/>
  <c r="O22" i="1"/>
  <c r="O23" i="1"/>
  <c r="O24" i="1"/>
  <c r="O26" i="1"/>
  <c r="O28" i="1"/>
  <c r="O30" i="1"/>
  <c r="O31" i="1"/>
  <c r="O32" i="1"/>
  <c r="N27" i="1"/>
  <c r="C19" i="2"/>
  <c r="D19" i="2"/>
  <c r="C5" i="2"/>
  <c r="AQ8" i="1"/>
  <c r="C34" i="2"/>
  <c r="C6" i="2"/>
  <c r="D6" i="2"/>
  <c r="C35" i="2"/>
  <c r="C21" i="2"/>
  <c r="C7" i="2"/>
  <c r="C36" i="2"/>
  <c r="D36" i="2"/>
  <c r="AQ18" i="1"/>
  <c r="C25" i="2"/>
  <c r="D25" i="2"/>
  <c r="C10" i="2"/>
  <c r="AQ23" i="1"/>
  <c r="C37" i="2"/>
  <c r="D37" i="2"/>
  <c r="C26" i="2"/>
  <c r="D26" i="2"/>
  <c r="C11" i="2"/>
  <c r="C38" i="2"/>
  <c r="C27" i="2"/>
  <c r="D27" i="2"/>
  <c r="D12" i="2"/>
  <c r="C39" i="2"/>
  <c r="D39" i="2"/>
  <c r="X21" i="1"/>
  <c r="Y21" i="1" s="1"/>
  <c r="W21" i="1"/>
  <c r="S21" i="1"/>
  <c r="T21" i="1" s="1"/>
  <c r="R21" i="1"/>
  <c r="X14" i="1"/>
  <c r="Y14" i="1" s="1"/>
  <c r="W14" i="1"/>
  <c r="S14" i="1"/>
  <c r="T14" i="1" s="1"/>
  <c r="R14" i="1"/>
  <c r="AG10" i="1"/>
  <c r="AG5" i="1" s="1"/>
  <c r="AF10" i="1"/>
  <c r="AF37" i="1" s="1"/>
  <c r="AC10" i="1"/>
  <c r="AC5" i="1" s="1"/>
  <c r="AB10" i="1"/>
  <c r="AB35" i="1" s="1"/>
  <c r="X10" i="1"/>
  <c r="Y10" i="1" s="1"/>
  <c r="W10" i="1"/>
  <c r="S10" i="1"/>
  <c r="T10" i="1" s="1"/>
  <c r="R10" i="1"/>
  <c r="N29" i="1"/>
  <c r="N21" i="1"/>
  <c r="N14" i="1"/>
  <c r="N10" i="1"/>
  <c r="M29" i="1"/>
  <c r="M25" i="1"/>
  <c r="M21" i="1"/>
  <c r="M14" i="1"/>
  <c r="M10" i="1"/>
  <c r="Y25" i="4" l="1"/>
  <c r="W22" i="4"/>
  <c r="Z25" i="4" s="1"/>
  <c r="O14" i="1"/>
  <c r="O21" i="1"/>
  <c r="D35" i="2"/>
  <c r="E35" i="2" s="1"/>
  <c r="P13" i="1"/>
  <c r="D38" i="2"/>
  <c r="P28" i="1"/>
  <c r="O10" i="1"/>
  <c r="BL93" i="4"/>
  <c r="AS7" i="4"/>
  <c r="K6" i="2"/>
  <c r="P19" i="4"/>
  <c r="P20" i="4"/>
  <c r="P21" i="4"/>
  <c r="P17" i="4"/>
  <c r="P18" i="4"/>
  <c r="M42" i="4"/>
  <c r="P43" i="4" s="1"/>
  <c r="R28" i="4"/>
  <c r="U29" i="4" s="1"/>
  <c r="AS37" i="4"/>
  <c r="M35" i="4"/>
  <c r="W28" i="4"/>
  <c r="Z32" i="4" s="1"/>
  <c r="O37" i="4"/>
  <c r="AS8" i="4"/>
  <c r="AS10" i="4"/>
  <c r="AS30" i="4"/>
  <c r="AS33" i="4"/>
  <c r="AT10" i="4"/>
  <c r="O23" i="4"/>
  <c r="O29" i="4"/>
  <c r="T15" i="4"/>
  <c r="BK65" i="4"/>
  <c r="Z21" i="4"/>
  <c r="AE21" i="4"/>
  <c r="AB6" i="4"/>
  <c r="AD6" i="4" s="1"/>
  <c r="AS14" i="4"/>
  <c r="D18" i="2"/>
  <c r="AQ9" i="1"/>
  <c r="E27" i="2"/>
  <c r="S35" i="1"/>
  <c r="AC35" i="1"/>
  <c r="AD35" i="1" s="1"/>
  <c r="U39" i="1"/>
  <c r="AB37" i="1"/>
  <c r="AD37" i="1" s="1"/>
  <c r="D5" i="2"/>
  <c r="E5" i="2" s="1"/>
  <c r="D34" i="2"/>
  <c r="E34" i="2" s="1"/>
  <c r="AC37" i="1"/>
  <c r="AC41" i="1" s="1"/>
  <c r="AC43" i="1" s="1"/>
  <c r="X37" i="1"/>
  <c r="X41" i="1" s="1"/>
  <c r="D10" i="2"/>
  <c r="E10" i="2" s="1"/>
  <c r="E7" i="2"/>
  <c r="AG35" i="1"/>
  <c r="X35" i="1"/>
  <c r="E26" i="2"/>
  <c r="N25" i="1"/>
  <c r="P27" i="1"/>
  <c r="AG37" i="1"/>
  <c r="AG41" i="1" s="1"/>
  <c r="AG43" i="1" s="1"/>
  <c r="AJ41" i="1"/>
  <c r="AJ43" i="1" s="1"/>
  <c r="E36" i="2"/>
  <c r="E21" i="2"/>
  <c r="AH39" i="1"/>
  <c r="S37" i="1"/>
  <c r="S41" i="1" s="1"/>
  <c r="I4" i="2"/>
  <c r="R35" i="1"/>
  <c r="R37" i="1"/>
  <c r="U37" i="1" s="1"/>
  <c r="W35" i="1"/>
  <c r="Z35" i="1" s="1"/>
  <c r="W37" i="1"/>
  <c r="Z37" i="1" s="1"/>
  <c r="BF16" i="4"/>
  <c r="BH12" i="4" s="1"/>
  <c r="BK16" i="4"/>
  <c r="BM12" i="4" s="1"/>
  <c r="BN12" i="4"/>
  <c r="BN13" i="4"/>
  <c r="BN10" i="4"/>
  <c r="BN14" i="4"/>
  <c r="BN11" i="4"/>
  <c r="BN15" i="4"/>
  <c r="BN9" i="4"/>
  <c r="BG13" i="4"/>
  <c r="BG11" i="4"/>
  <c r="BG9" i="4"/>
  <c r="BG14" i="4"/>
  <c r="BG10" i="4"/>
  <c r="BG15" i="4"/>
  <c r="BG12" i="4"/>
  <c r="AS45" i="4"/>
  <c r="AS44" i="4"/>
  <c r="M37" i="1"/>
  <c r="M41" i="1" s="1"/>
  <c r="AS43" i="4"/>
  <c r="AS38" i="4"/>
  <c r="E37" i="2"/>
  <c r="AS29" i="4"/>
  <c r="M28" i="4"/>
  <c r="O32" i="4"/>
  <c r="AS17" i="4"/>
  <c r="AS40" i="4"/>
  <c r="M22" i="4"/>
  <c r="AS39" i="4"/>
  <c r="AS31" i="4"/>
  <c r="AT14" i="4"/>
  <c r="AT9" i="4"/>
  <c r="AT13" i="4"/>
  <c r="AS9" i="4"/>
  <c r="M35" i="1"/>
  <c r="AS25" i="4"/>
  <c r="AS11" i="4"/>
  <c r="T25" i="4"/>
  <c r="R22" i="4"/>
  <c r="T22" i="4" s="1"/>
  <c r="AS24" i="4"/>
  <c r="O25" i="4"/>
  <c r="AS27" i="4"/>
  <c r="AG15" i="4"/>
  <c r="AJ16" i="4" s="1"/>
  <c r="AI19" i="4"/>
  <c r="AH37" i="1"/>
  <c r="AF41" i="1"/>
  <c r="AH41" i="1" s="1"/>
  <c r="AH43" i="1" s="1"/>
  <c r="AF35" i="1"/>
  <c r="AH35" i="1" s="1"/>
  <c r="Z20" i="4"/>
  <c r="AS19" i="4"/>
  <c r="Y15" i="4"/>
  <c r="Z15" i="4"/>
  <c r="AE15" i="4"/>
  <c r="AE16" i="4"/>
  <c r="AE19" i="4"/>
  <c r="AD15" i="4"/>
  <c r="AE20" i="4"/>
  <c r="Z26" i="4"/>
  <c r="Z16" i="4"/>
  <c r="Z19" i="4"/>
  <c r="U32" i="4"/>
  <c r="U20" i="4"/>
  <c r="U21" i="4"/>
  <c r="U19" i="4"/>
  <c r="U15" i="4"/>
  <c r="U16" i="4"/>
  <c r="AS20" i="4"/>
  <c r="P15" i="4"/>
  <c r="O15" i="4"/>
  <c r="AS47" i="4"/>
  <c r="AS36" i="4"/>
  <c r="AS21" i="4"/>
  <c r="AS12" i="4"/>
  <c r="AT11" i="4"/>
  <c r="P16" i="4"/>
  <c r="AS32" i="4"/>
  <c r="AT12" i="4"/>
  <c r="AS46" i="4"/>
  <c r="AS16" i="4"/>
  <c r="AT7" i="4"/>
  <c r="AS48" i="4"/>
  <c r="AS34" i="4"/>
  <c r="AS26" i="4"/>
  <c r="AS13" i="4"/>
  <c r="AT8" i="4"/>
  <c r="E25" i="2"/>
  <c r="E20" i="2"/>
  <c r="E19" i="2"/>
  <c r="K20" i="2"/>
  <c r="E39" i="2"/>
  <c r="E12" i="2"/>
  <c r="E6" i="2"/>
  <c r="C4" i="2"/>
  <c r="I18" i="2"/>
  <c r="I33" i="2"/>
  <c r="C18" i="2"/>
  <c r="C33" i="2"/>
  <c r="J18" i="2"/>
  <c r="J22" i="2" s="1"/>
  <c r="AQ39" i="1"/>
  <c r="AM39" i="1"/>
  <c r="W41" i="1"/>
  <c r="AQ28" i="1"/>
  <c r="AQ31" i="1"/>
  <c r="O27" i="1"/>
  <c r="O29" i="1"/>
  <c r="AQ6" i="1"/>
  <c r="O25" i="1"/>
  <c r="AQ12" i="1"/>
  <c r="AQ7" i="1"/>
  <c r="AQ30" i="1"/>
  <c r="AQ29" i="1"/>
  <c r="P29" i="1"/>
  <c r="AQ20" i="1"/>
  <c r="AQ11" i="1"/>
  <c r="AQ32" i="1"/>
  <c r="AQ19" i="1"/>
  <c r="AQ26" i="1"/>
  <c r="P25" i="1"/>
  <c r="AQ25" i="1"/>
  <c r="AQ24" i="1"/>
  <c r="S5" i="1"/>
  <c r="T5" i="1" s="1"/>
  <c r="Z21" i="1"/>
  <c r="U21" i="1"/>
  <c r="R5" i="1"/>
  <c r="AQ22" i="1"/>
  <c r="P21" i="1"/>
  <c r="AQ17" i="1"/>
  <c r="Z14" i="1"/>
  <c r="AQ16" i="1"/>
  <c r="M5" i="1"/>
  <c r="X5" i="1"/>
  <c r="Y5" i="1" s="1"/>
  <c r="U14" i="1"/>
  <c r="AQ15" i="1"/>
  <c r="P14" i="1"/>
  <c r="AD10" i="1"/>
  <c r="AQ13" i="1"/>
  <c r="P10" i="1"/>
  <c r="AH10" i="1"/>
  <c r="AB5" i="1"/>
  <c r="AD5" i="1" s="1"/>
  <c r="Z10" i="1"/>
  <c r="W5" i="1"/>
  <c r="AF5" i="1"/>
  <c r="AH5" i="1" s="1"/>
  <c r="U10" i="1"/>
  <c r="N5" i="1"/>
  <c r="BW16" i="4" l="1"/>
  <c r="AT18" i="4"/>
  <c r="P31" i="4"/>
  <c r="P37" i="4"/>
  <c r="P46" i="4"/>
  <c r="P32" i="4"/>
  <c r="D33" i="2"/>
  <c r="J24" i="2"/>
  <c r="AB41" i="1"/>
  <c r="E38" i="2"/>
  <c r="J33" i="2"/>
  <c r="J37" i="2" s="1"/>
  <c r="J39" i="2" s="1"/>
  <c r="X43" i="1"/>
  <c r="N35" i="1"/>
  <c r="P35" i="1" s="1"/>
  <c r="AM41" i="1"/>
  <c r="AM43" i="1" s="1"/>
  <c r="O5" i="1"/>
  <c r="O4" i="2"/>
  <c r="Z23" i="4"/>
  <c r="Y22" i="4"/>
  <c r="Z24" i="4"/>
  <c r="Z22" i="4"/>
  <c r="Z27" i="4"/>
  <c r="Z34" i="4"/>
  <c r="Z29" i="4"/>
  <c r="Y28" i="4"/>
  <c r="T28" i="4"/>
  <c r="U34" i="4"/>
  <c r="U28" i="4"/>
  <c r="U31" i="4"/>
  <c r="U33" i="4"/>
  <c r="P33" i="4"/>
  <c r="P28" i="4"/>
  <c r="P30" i="4"/>
  <c r="P45" i="4"/>
  <c r="P47" i="4"/>
  <c r="O42" i="4"/>
  <c r="P44" i="4"/>
  <c r="P48" i="4"/>
  <c r="AT48" i="4"/>
  <c r="P36" i="4"/>
  <c r="AZ16" i="4"/>
  <c r="AS15" i="4"/>
  <c r="O35" i="4"/>
  <c r="P39" i="4"/>
  <c r="P40" i="4"/>
  <c r="Z28" i="4"/>
  <c r="Z31" i="4"/>
  <c r="P25" i="4"/>
  <c r="AS23" i="4"/>
  <c r="P38" i="4"/>
  <c r="P29" i="4"/>
  <c r="P41" i="4"/>
  <c r="P42" i="4"/>
  <c r="AT40" i="4"/>
  <c r="Z33" i="4"/>
  <c r="P35" i="4"/>
  <c r="BM15" i="4"/>
  <c r="BM60" i="4"/>
  <c r="BM58" i="4"/>
  <c r="BM63" i="4"/>
  <c r="BM64" i="4"/>
  <c r="BM61" i="4"/>
  <c r="BM59" i="4"/>
  <c r="BK41" i="4"/>
  <c r="BM36" i="4" s="1"/>
  <c r="BK85" i="4"/>
  <c r="BK100" i="4" s="1"/>
  <c r="AY11" i="4" s="1"/>
  <c r="AJ19" i="4"/>
  <c r="BE29" i="4"/>
  <c r="BG26" i="4" s="1"/>
  <c r="BE87" i="4"/>
  <c r="BK87" i="4"/>
  <c r="BK89" i="4"/>
  <c r="BK104" i="4" s="1"/>
  <c r="AY15" i="4" s="1"/>
  <c r="AI15" i="4"/>
  <c r="R6" i="4"/>
  <c r="T6" i="4" s="1"/>
  <c r="AJ15" i="4"/>
  <c r="AG6" i="4"/>
  <c r="AI6" i="4" s="1"/>
  <c r="BM62" i="4"/>
  <c r="U24" i="4"/>
  <c r="AJ21" i="4"/>
  <c r="BK77" i="4"/>
  <c r="BM76" i="4" s="1"/>
  <c r="W6" i="4"/>
  <c r="Y6" i="4" s="1"/>
  <c r="O28" i="4"/>
  <c r="BK53" i="4"/>
  <c r="BM48" i="4" s="1"/>
  <c r="AQ27" i="1"/>
  <c r="D11" i="2"/>
  <c r="J4" i="2" s="1"/>
  <c r="U35" i="1"/>
  <c r="N37" i="1"/>
  <c r="N41" i="1" s="1"/>
  <c r="N43" i="1" s="1"/>
  <c r="S43" i="1"/>
  <c r="AP35" i="1"/>
  <c r="AP37" i="1"/>
  <c r="AP41" i="1" s="1"/>
  <c r="R41" i="1"/>
  <c r="M43" i="1"/>
  <c r="BH14" i="4"/>
  <c r="BH11" i="4"/>
  <c r="BM11" i="4"/>
  <c r="BH13" i="4"/>
  <c r="BH16" i="4"/>
  <c r="BH9" i="4"/>
  <c r="BH15" i="4"/>
  <c r="BH10" i="4"/>
  <c r="BG16" i="4"/>
  <c r="BM14" i="4"/>
  <c r="BM10" i="4"/>
  <c r="BM9" i="4"/>
  <c r="BM13" i="4"/>
  <c r="AT29" i="4"/>
  <c r="P34" i="4"/>
  <c r="AS22" i="4"/>
  <c r="P27" i="4"/>
  <c r="U26" i="4"/>
  <c r="U25" i="4"/>
  <c r="M6" i="4"/>
  <c r="U27" i="4"/>
  <c r="AJ20" i="4"/>
  <c r="P23" i="4"/>
  <c r="P26" i="4"/>
  <c r="O22" i="4"/>
  <c r="P22" i="4"/>
  <c r="U23" i="4"/>
  <c r="P24" i="4"/>
  <c r="U22" i="4"/>
  <c r="AF43" i="1"/>
  <c r="AO37" i="1"/>
  <c r="AO35" i="1"/>
  <c r="E18" i="2"/>
  <c r="E33" i="2"/>
  <c r="I37" i="2"/>
  <c r="I8" i="2"/>
  <c r="K18" i="2"/>
  <c r="I22" i="2"/>
  <c r="K22" i="2" s="1"/>
  <c r="AB43" i="1"/>
  <c r="AD41" i="1"/>
  <c r="AD43" i="1" s="1"/>
  <c r="W43" i="1"/>
  <c r="Z41" i="1"/>
  <c r="R43" i="1"/>
  <c r="U41" i="1"/>
  <c r="U5" i="1"/>
  <c r="AQ21" i="1"/>
  <c r="Z5" i="1"/>
  <c r="AQ14" i="1"/>
  <c r="AQ10" i="1"/>
  <c r="P5" i="1"/>
  <c r="P5" i="2"/>
  <c r="BK102" i="4" l="1"/>
  <c r="AY13" i="4" s="1"/>
  <c r="AY16" i="4" s="1"/>
  <c r="BA11" i="4" s="1"/>
  <c r="O6" i="4"/>
  <c r="BK93" i="4"/>
  <c r="K33" i="2"/>
  <c r="K37" i="2"/>
  <c r="AT39" i="4"/>
  <c r="AT42" i="4"/>
  <c r="AS42" i="4"/>
  <c r="AT46" i="4"/>
  <c r="AT47" i="4"/>
  <c r="AT17" i="4"/>
  <c r="AT15" i="4"/>
  <c r="AT19" i="4"/>
  <c r="AT16" i="4"/>
  <c r="AT21" i="4"/>
  <c r="AT20" i="4"/>
  <c r="AT32" i="4"/>
  <c r="AT28" i="4"/>
  <c r="AT33" i="4"/>
  <c r="AT35" i="4"/>
  <c r="AT37" i="4"/>
  <c r="AS35" i="4"/>
  <c r="AT36" i="4"/>
  <c r="AT38" i="4"/>
  <c r="AT41" i="4"/>
  <c r="AT45" i="4"/>
  <c r="AT43" i="4"/>
  <c r="AT44" i="4"/>
  <c r="AT27" i="4"/>
  <c r="BB16" i="4"/>
  <c r="BB13" i="4"/>
  <c r="BB9" i="4"/>
  <c r="BB14" i="4"/>
  <c r="BB12" i="4"/>
  <c r="BB11" i="4"/>
  <c r="BB15" i="4"/>
  <c r="BB10" i="4"/>
  <c r="AT25" i="4"/>
  <c r="BG27" i="4"/>
  <c r="BG25" i="4"/>
  <c r="BG23" i="4"/>
  <c r="BG28" i="4"/>
  <c r="BG22" i="4"/>
  <c r="BG24" i="4"/>
  <c r="BM51" i="4"/>
  <c r="BM46" i="4"/>
  <c r="BM52" i="4"/>
  <c r="BM47" i="4"/>
  <c r="BM49" i="4"/>
  <c r="BM50" i="4"/>
  <c r="BM65" i="4"/>
  <c r="AT23" i="4"/>
  <c r="BM72" i="4"/>
  <c r="BM70" i="4"/>
  <c r="BM71" i="4"/>
  <c r="BM73" i="4"/>
  <c r="BM75" i="4"/>
  <c r="AT26" i="4"/>
  <c r="BK90" i="4"/>
  <c r="BM87" i="4" s="1"/>
  <c r="AS6" i="4"/>
  <c r="AT22" i="4"/>
  <c r="BM40" i="4"/>
  <c r="BM37" i="4"/>
  <c r="BM35" i="4"/>
  <c r="BM39" i="4"/>
  <c r="BM34" i="4"/>
  <c r="BM38" i="4"/>
  <c r="BE90" i="4"/>
  <c r="BG87" i="4" s="1"/>
  <c r="AT24" i="4"/>
  <c r="AT31" i="4"/>
  <c r="AT30" i="4"/>
  <c r="BM74" i="4"/>
  <c r="J8" i="2"/>
  <c r="K8" i="2" s="1"/>
  <c r="K4" i="2"/>
  <c r="P37" i="1"/>
  <c r="P41" i="1"/>
  <c r="P43" i="1" s="1"/>
  <c r="E11" i="2"/>
  <c r="D4" i="2"/>
  <c r="AQ35" i="1"/>
  <c r="AP43" i="1"/>
  <c r="U43" i="1"/>
  <c r="BM16" i="4"/>
  <c r="AS28" i="4"/>
  <c r="AT34" i="4"/>
  <c r="Z43" i="1"/>
  <c r="O5" i="2"/>
  <c r="Q5" i="2" s="1"/>
  <c r="AQ37" i="1"/>
  <c r="AO41" i="1"/>
  <c r="AQ41" i="1" s="1"/>
  <c r="AQ43" i="1" s="1"/>
  <c r="K39" i="2"/>
  <c r="I39" i="2"/>
  <c r="K24" i="2"/>
  <c r="I24" i="2"/>
  <c r="I10" i="2"/>
  <c r="AQ5" i="1"/>
  <c r="BA10" i="4" l="1"/>
  <c r="BA9" i="4"/>
  <c r="BA12" i="4"/>
  <c r="BA15" i="4"/>
  <c r="BA13" i="4"/>
  <c r="BA14" i="4"/>
  <c r="AT6" i="4"/>
  <c r="BM85" i="4"/>
  <c r="BG83" i="4"/>
  <c r="BG84" i="4"/>
  <c r="BG89" i="4"/>
  <c r="BG88" i="4"/>
  <c r="BG85" i="4"/>
  <c r="BG86" i="4"/>
  <c r="BM89" i="4"/>
  <c r="BG29" i="4"/>
  <c r="BK105" i="4"/>
  <c r="BM100" i="4" s="1"/>
  <c r="BM83" i="4"/>
  <c r="BM86" i="4"/>
  <c r="BM88" i="4"/>
  <c r="BM84" i="4"/>
  <c r="BM41" i="4"/>
  <c r="BM77" i="4"/>
  <c r="BM53" i="4"/>
  <c r="J10" i="2"/>
  <c r="P4" i="2"/>
  <c r="E4" i="2"/>
  <c r="K10" i="2" s="1"/>
  <c r="O6" i="2"/>
  <c r="AO43" i="1"/>
  <c r="BA16" i="4" l="1"/>
  <c r="BM90" i="4"/>
  <c r="BM102" i="4"/>
  <c r="BM99" i="4"/>
  <c r="BM98" i="4"/>
  <c r="BM103" i="4"/>
  <c r="BM101" i="4"/>
  <c r="BM104" i="4"/>
  <c r="BG90" i="4"/>
  <c r="P6" i="2"/>
  <c r="Q4" i="2"/>
  <c r="Q6" i="2" s="1"/>
  <c r="BM105" i="4" l="1"/>
</calcChain>
</file>

<file path=xl/sharedStrings.xml><?xml version="1.0" encoding="utf-8"?>
<sst xmlns="http://schemas.openxmlformats.org/spreadsheetml/2006/main" count="840" uniqueCount="86">
  <si>
    <t/>
  </si>
  <si>
    <t>Year</t>
  </si>
  <si>
    <t>Year-Quarter</t>
  </si>
  <si>
    <t>2024-Q2</t>
  </si>
  <si>
    <t>2024-Q1</t>
  </si>
  <si>
    <t>Month</t>
  </si>
  <si>
    <t>Jun</t>
  </si>
  <si>
    <t>May</t>
  </si>
  <si>
    <t>Apr</t>
  </si>
  <si>
    <t>Mar</t>
  </si>
  <si>
    <t>Feb</t>
  </si>
  <si>
    <t>Jan</t>
  </si>
  <si>
    <t>CampusName</t>
  </si>
  <si>
    <t>LevelOfCare</t>
  </si>
  <si>
    <t>Resident Days</t>
  </si>
  <si>
    <t>In Service Days</t>
  </si>
  <si>
    <t>Occupancy %</t>
  </si>
  <si>
    <t>Budget Occupancy %</t>
  </si>
  <si>
    <t>Totals</t>
  </si>
  <si>
    <t>Asbury Methodist Village</t>
  </si>
  <si>
    <t>AL</t>
  </si>
  <si>
    <t>IL</t>
  </si>
  <si>
    <t>SNF</t>
  </si>
  <si>
    <t>Asbury Solomons</t>
  </si>
  <si>
    <t>-</t>
  </si>
  <si>
    <t>Bethany Village</t>
  </si>
  <si>
    <t>Chandler Estates</t>
  </si>
  <si>
    <t>Grace Park</t>
  </si>
  <si>
    <t>Ivy Gables</t>
  </si>
  <si>
    <t>Normandie Ridge</t>
  </si>
  <si>
    <t>Riverwoods</t>
  </si>
  <si>
    <t>Springhill</t>
  </si>
  <si>
    <t>2024 YTD</t>
  </si>
  <si>
    <t>Asbury CCRC</t>
  </si>
  <si>
    <t>Asbury CCRC + CE</t>
  </si>
  <si>
    <t xml:space="preserve">Asbury Living </t>
  </si>
  <si>
    <t>TOTAL</t>
  </si>
  <si>
    <t>CHECK</t>
  </si>
  <si>
    <t>RL</t>
  </si>
  <si>
    <t>YTD</t>
  </si>
  <si>
    <t>Actual</t>
  </si>
  <si>
    <t>In Service</t>
  </si>
  <si>
    <t>Occ%</t>
  </si>
  <si>
    <t>Level</t>
  </si>
  <si>
    <t>Occupnacy</t>
  </si>
  <si>
    <t>Asbury Living</t>
  </si>
  <si>
    <t>Check</t>
  </si>
  <si>
    <t>Private Pay</t>
  </si>
  <si>
    <t>MedicareA/MC HMO</t>
  </si>
  <si>
    <t>Medicare Advantage</t>
  </si>
  <si>
    <t>Medicaid Pending</t>
  </si>
  <si>
    <t>Medicaid</t>
  </si>
  <si>
    <t>Managed Care</t>
  </si>
  <si>
    <t>Hospice</t>
  </si>
  <si>
    <t>Budget Payer Mix</t>
  </si>
  <si>
    <t>Payer Mix</t>
  </si>
  <si>
    <t>Variance</t>
  </si>
  <si>
    <t>Budget Resident Days</t>
  </si>
  <si>
    <t>Payer Name</t>
  </si>
  <si>
    <t>Campus Name</t>
  </si>
  <si>
    <t>Date</t>
  </si>
  <si>
    <t>2024-Jan</t>
  </si>
  <si>
    <t>2024-Feb</t>
  </si>
  <si>
    <t>2024-Mar</t>
  </si>
  <si>
    <t>2024-Apr</t>
  </si>
  <si>
    <t>2024-May</t>
  </si>
  <si>
    <t>2024-Jun</t>
  </si>
  <si>
    <t>Year-Month</t>
  </si>
  <si>
    <t>Total by payer</t>
  </si>
  <si>
    <t>Budget</t>
  </si>
  <si>
    <t>2024 YTD SNF Payer Mix</t>
  </si>
  <si>
    <t>TOTAL YTD</t>
  </si>
  <si>
    <t>Q1 2024</t>
  </si>
  <si>
    <t>Q2 2024</t>
  </si>
  <si>
    <t>AMV</t>
  </si>
  <si>
    <t>AS</t>
  </si>
  <si>
    <t>BV</t>
  </si>
  <si>
    <t>NR</t>
  </si>
  <si>
    <t>RW</t>
  </si>
  <si>
    <t>SH</t>
  </si>
  <si>
    <t>July</t>
  </si>
  <si>
    <t>Q3 2024</t>
  </si>
  <si>
    <t>2024-July</t>
  </si>
  <si>
    <t>MA Pending</t>
  </si>
  <si>
    <t>August</t>
  </si>
  <si>
    <t>2024-Aug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</si>
</sst>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##0"/>
    <numFmt numFmtId="166" formatCode="#,##0;\(#,##0\)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3" fontId="0" fillId="0" borderId="4" xfId="0" applyNumberFormat="1" applyBorder="1"/>
    <xf numFmtId="164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3" xfId="0" applyBorder="1"/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/>
    <xf numFmtId="164" fontId="0" fillId="0" borderId="0" xfId="1" applyNumberFormat="1" applyFont="1"/>
    <xf numFmtId="0" fontId="0" fillId="0" borderId="0" xfId="0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3" fontId="2" fillId="0" borderId="14" xfId="0" applyNumberFormat="1" applyFont="1" applyBorder="1"/>
    <xf numFmtId="3" fontId="2" fillId="0" borderId="0" xfId="0" applyNumberFormat="1" applyFont="1"/>
    <xf numFmtId="166" fontId="4" fillId="0" borderId="0" xfId="0" applyNumberFormat="1" applyFont="1"/>
    <xf numFmtId="10" fontId="2" fillId="0" borderId="0" xfId="0" applyNumberFormat="1" applyFont="1"/>
    <xf numFmtId="10" fontId="2" fillId="0" borderId="15" xfId="0" applyNumberFormat="1" applyFont="1" applyBorder="1"/>
    <xf numFmtId="3" fontId="0" fillId="0" borderId="14" xfId="0" applyNumberFormat="1" applyBorder="1"/>
    <xf numFmtId="166" fontId="3" fillId="0" borderId="0" xfId="0" applyNumberFormat="1" applyFont="1"/>
    <xf numFmtId="10" fontId="0" fillId="0" borderId="0" xfId="0" applyNumberFormat="1"/>
    <xf numFmtId="10" fontId="0" fillId="0" borderId="15" xfId="0" applyNumberFormat="1" applyBorder="1"/>
    <xf numFmtId="166" fontId="0" fillId="0" borderId="0" xfId="0" applyNumberFormat="1"/>
    <xf numFmtId="3" fontId="0" fillId="0" borderId="16" xfId="0" applyNumberFormat="1" applyBorder="1"/>
    <xf numFmtId="3" fontId="0" fillId="0" borderId="17" xfId="0" applyNumberFormat="1" applyBorder="1"/>
    <xf numFmtId="166" fontId="3" fillId="0" borderId="17" xfId="0" applyNumberFormat="1" applyFont="1" applyBorder="1"/>
    <xf numFmtId="10" fontId="0" fillId="0" borderId="17" xfId="0" applyNumberFormat="1" applyBorder="1"/>
    <xf numFmtId="10" fontId="0" fillId="0" borderId="18" xfId="0" applyNumberForma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3" fontId="2" fillId="0" borderId="16" xfId="0" applyNumberFormat="1" applyFont="1" applyBorder="1"/>
    <xf numFmtId="3" fontId="2" fillId="0" borderId="17" xfId="0" applyNumberFormat="1" applyFont="1" applyBorder="1"/>
    <xf numFmtId="38" fontId="2" fillId="0" borderId="17" xfId="0" applyNumberFormat="1" applyFont="1" applyBorder="1"/>
    <xf numFmtId="0" fontId="2" fillId="0" borderId="18" xfId="0" applyFont="1" applyBorder="1"/>
    <xf numFmtId="38" fontId="2" fillId="0" borderId="0" xfId="0" applyNumberFormat="1" applyFont="1"/>
    <xf numFmtId="3" fontId="2" fillId="0" borderId="11" xfId="0" applyNumberFormat="1" applyFont="1" applyBorder="1"/>
    <xf numFmtId="3" fontId="2" fillId="0" borderId="12" xfId="0" applyNumberFormat="1" applyFont="1" applyBorder="1"/>
    <xf numFmtId="166" fontId="2" fillId="0" borderId="12" xfId="0" applyNumberFormat="1" applyFont="1" applyBorder="1"/>
    <xf numFmtId="10" fontId="2" fillId="0" borderId="12" xfId="0" applyNumberFormat="1" applyFont="1" applyBorder="1"/>
    <xf numFmtId="10" fontId="2" fillId="0" borderId="13" xfId="0" applyNumberFormat="1" applyFont="1" applyBorder="1"/>
    <xf numFmtId="166" fontId="4" fillId="0" borderId="12" xfId="0" applyNumberFormat="1" applyFont="1" applyBorder="1"/>
    <xf numFmtId="0" fontId="2" fillId="0" borderId="0" xfId="0" applyFont="1" applyAlignment="1">
      <alignment horizontal="right"/>
    </xf>
    <xf numFmtId="0" fontId="0" fillId="0" borderId="15" xfId="0" applyBorder="1"/>
    <xf numFmtId="0" fontId="2" fillId="0" borderId="17" xfId="0" applyFont="1" applyBorder="1" applyAlignment="1">
      <alignment horizontal="right"/>
    </xf>
    <xf numFmtId="0" fontId="0" fillId="0" borderId="18" xfId="0" applyBorder="1"/>
    <xf numFmtId="3" fontId="0" fillId="0" borderId="11" xfId="0" applyNumberFormat="1" applyBorder="1"/>
    <xf numFmtId="3" fontId="0" fillId="0" borderId="12" xfId="0" applyNumberFormat="1" applyBorder="1"/>
    <xf numFmtId="166" fontId="3" fillId="0" borderId="12" xfId="0" applyNumberFormat="1" applyFont="1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3" xfId="0" applyBorder="1"/>
    <xf numFmtId="166" fontId="0" fillId="0" borderId="12" xfId="0" applyNumberFormat="1" applyBorder="1"/>
    <xf numFmtId="166" fontId="0" fillId="0" borderId="17" xfId="0" applyNumberFormat="1" applyBorder="1"/>
    <xf numFmtId="10" fontId="0" fillId="0" borderId="0" xfId="1" applyNumberFormat="1" applyFont="1" applyBorder="1"/>
    <xf numFmtId="10" fontId="2" fillId="0" borderId="12" xfId="1" applyNumberFormat="1" applyFont="1" applyBorder="1"/>
    <xf numFmtId="10" fontId="0" fillId="0" borderId="12" xfId="1" applyNumberFormat="1" applyFont="1" applyBorder="1"/>
    <xf numFmtId="10" fontId="2" fillId="0" borderId="17" xfId="1" applyNumberFormat="1" applyFont="1" applyBorder="1"/>
    <xf numFmtId="38" fontId="2" fillId="0" borderId="12" xfId="0" applyNumberFormat="1" applyFont="1" applyBorder="1"/>
    <xf numFmtId="10" fontId="0" fillId="0" borderId="17" xfId="1" applyNumberFormat="1" applyFont="1" applyBorder="1"/>
    <xf numFmtId="166" fontId="5" fillId="0" borderId="0" xfId="0" applyNumberFormat="1" applyFont="1"/>
    <xf numFmtId="166" fontId="5" fillId="0" borderId="17" xfId="0" applyNumberFormat="1" applyFont="1" applyBorder="1"/>
    <xf numFmtId="166" fontId="5" fillId="0" borderId="12" xfId="0" applyNumberFormat="1" applyFont="1" applyBorder="1"/>
    <xf numFmtId="0" fontId="0" fillId="0" borderId="14" xfId="0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15" xfId="0" applyFill="1" applyBorder="1" applyAlignment="1">
      <alignment horizontal="center"/>
    </xf>
    <xf numFmtId="3" fontId="0" fillId="3" borderId="0" xfId="0" applyNumberFormat="1" applyFill="1"/>
    <xf numFmtId="3" fontId="0" fillId="4" borderId="0" xfId="0" applyNumberFormat="1" applyFill="1"/>
    <xf numFmtId="10" fontId="0" fillId="3" borderId="0" xfId="1" applyNumberFormat="1" applyFont="1" applyFill="1" applyBorder="1"/>
    <xf numFmtId="10" fontId="0" fillId="4" borderId="15" xfId="1" applyNumberFormat="1" applyFont="1" applyFill="1" applyBorder="1"/>
    <xf numFmtId="0" fontId="0" fillId="0" borderId="16" xfId="0" applyBorder="1"/>
    <xf numFmtId="3" fontId="0" fillId="3" borderId="17" xfId="0" applyNumberFormat="1" applyFill="1" applyBorder="1"/>
    <xf numFmtId="3" fontId="0" fillId="4" borderId="17" xfId="0" applyNumberFormat="1" applyFill="1" applyBorder="1"/>
    <xf numFmtId="10" fontId="0" fillId="3" borderId="17" xfId="0" applyNumberFormat="1" applyFill="1" applyBorder="1"/>
    <xf numFmtId="10" fontId="0" fillId="4" borderId="18" xfId="1" applyNumberFormat="1" applyFont="1" applyFill="1" applyBorder="1"/>
    <xf numFmtId="0" fontId="0" fillId="0" borderId="17" xfId="0" applyBorder="1"/>
    <xf numFmtId="3" fontId="0" fillId="0" borderId="15" xfId="0" applyNumberFormat="1" applyBorder="1"/>
    <xf numFmtId="0" fontId="0" fillId="0" borderId="11" xfId="0" applyBorder="1"/>
    <xf numFmtId="0" fontId="0" fillId="0" borderId="12" xfId="0" applyBorder="1"/>
    <xf numFmtId="37" fontId="3" fillId="0" borderId="0" xfId="0" applyNumberFormat="1" applyFont="1"/>
    <xf numFmtId="166" fontId="6" fillId="0" borderId="0" xfId="0" applyNumberFormat="1" applyFont="1"/>
    <xf numFmtId="0" fontId="2" fillId="0" borderId="9" xfId="0" applyFont="1" applyBorder="1" applyAlignment="1">
      <alignment horizontal="center" vertical="center"/>
    </xf>
    <xf numFmtId="3" fontId="0" fillId="0" borderId="1" xfId="0" applyNumberFormat="1" applyBorder="1"/>
    <xf numFmtId="3" fontId="0" fillId="0" borderId="2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3" fontId="0" fillId="0" borderId="9" xfId="0" applyNumberFormat="1" applyBorder="1"/>
    <xf numFmtId="3" fontId="0" fillId="0" borderId="20" xfId="0" applyNumberFormat="1" applyBorder="1"/>
    <xf numFmtId="164" fontId="0" fillId="0" borderId="20" xfId="0" applyNumberFormat="1" applyBorder="1"/>
    <xf numFmtId="164" fontId="0" fillId="0" borderId="10" xfId="0" applyNumberFormat="1" applyBorder="1"/>
    <xf numFmtId="38" fontId="5" fillId="0" borderId="17" xfId="0" applyNumberFormat="1" applyFont="1" applyBorder="1"/>
    <xf numFmtId="38" fontId="5" fillId="0" borderId="0" xfId="0" applyNumberFormat="1" applyFont="1"/>
    <xf numFmtId="38" fontId="5" fillId="0" borderId="12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vertical="center" textRotation="255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textRotation="255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 textRotation="255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2652-7B6F-4750-9D4B-E7AABCECF960}">
  <dimension ref="A1:AR43"/>
  <sheetViews>
    <sheetView tabSelected="1" workbookViewId="0">
      <pane xSplit="1" topLeftCell="B1" activePane="topRight" state="frozen"/>
      <selection pane="topRight" activeCell="I22" sqref="I22"/>
    </sheetView>
  </sheetViews>
  <sheetFormatPr defaultRowHeight="12.75" x14ac:dyDescent="0.2"/>
  <cols>
    <col min="1" max="1" width="23.85546875" style="3" bestFit="1" customWidth="1"/>
    <col min="2" max="2" width="12.5703125" bestFit="1" customWidth="1"/>
    <col min="3" max="3" width="13.85546875" customWidth="1"/>
    <col min="4" max="4" width="15.140625" customWidth="1"/>
    <col min="5" max="5" width="5.5703125" customWidth="1"/>
    <col min="6" max="6" width="13.140625" customWidth="1"/>
    <col min="7" max="7" width="20.28515625" customWidth="1"/>
    <col min="8" max="8" width="13.85546875" customWidth="1"/>
    <col min="9" max="9" width="15.140625" customWidth="1"/>
    <col min="10" max="10" width="5.5703125" customWidth="1"/>
    <col min="11" max="11" width="13.140625" customWidth="1"/>
    <col min="12" max="12" width="20.28515625" customWidth="1"/>
    <col min="13" max="13" width="13.85546875" customWidth="1"/>
    <col min="14" max="14" width="15.140625" customWidth="1"/>
    <col min="15" max="15" width="6.28515625" customWidth="1"/>
    <col min="16" max="16" width="13.140625" customWidth="1"/>
    <col min="17" max="17" width="20.28515625" customWidth="1"/>
    <col min="18" max="18" width="13.85546875" customWidth="1"/>
    <col min="19" max="19" width="15.140625" customWidth="1"/>
    <col min="20" max="20" width="5.5703125" customWidth="1"/>
    <col min="21" max="21" width="13.140625" customWidth="1"/>
    <col min="22" max="22" width="20.28515625" customWidth="1"/>
    <col min="23" max="23" width="13.85546875" customWidth="1"/>
    <col min="24" max="24" width="15.140625" customWidth="1"/>
    <col min="25" max="25" width="5.5703125" customWidth="1"/>
    <col min="26" max="26" width="13.140625" customWidth="1"/>
    <col min="27" max="27" width="20.28515625" customWidth="1"/>
    <col min="28" max="28" width="13.85546875" customWidth="1"/>
    <col min="29" max="29" width="15.140625" customWidth="1"/>
    <col min="30" max="30" width="13.140625" customWidth="1"/>
    <col min="31" max="31" width="20.28515625" customWidth="1"/>
    <col min="32" max="32" width="13.85546875" customWidth="1"/>
    <col min="33" max="33" width="15.140625" customWidth="1"/>
    <col min="34" max="34" width="13.140625" customWidth="1"/>
    <col min="35" max="35" width="20.28515625" customWidth="1"/>
    <col min="36" max="36" width="13.85546875" customWidth="1"/>
    <col min="37" max="38" width="15.140625" customWidth="1"/>
    <col min="39" max="39" width="13.140625" customWidth="1"/>
    <col min="40" max="40" width="20.28515625" customWidth="1"/>
    <col min="41" max="41" width="13.85546875" bestFit="1" customWidth="1"/>
    <col min="42" max="42" width="15.140625" bestFit="1" customWidth="1"/>
    <col min="43" max="43" width="13.140625" bestFit="1" customWidth="1"/>
    <col min="44" max="44" width="20.28515625" bestFit="1" customWidth="1"/>
  </cols>
  <sheetData>
    <row r="1" spans="1:44" s="3" customFormat="1" x14ac:dyDescent="0.2">
      <c r="A1" s="3" t="s">
        <v>0</v>
      </c>
      <c r="B1" s="3" t="s">
        <v>1</v>
      </c>
      <c r="M1" s="109">
        <v>2024</v>
      </c>
      <c r="N1" s="109">
        <v>2024</v>
      </c>
      <c r="O1" s="109"/>
      <c r="P1" s="109">
        <v>2024</v>
      </c>
      <c r="Q1" s="109">
        <v>2024</v>
      </c>
      <c r="R1" s="109">
        <v>2024</v>
      </c>
      <c r="S1" s="109">
        <v>2024</v>
      </c>
      <c r="T1" s="109"/>
      <c r="U1" s="109">
        <v>2024</v>
      </c>
      <c r="V1" s="109">
        <v>2024</v>
      </c>
      <c r="W1" s="109">
        <v>2024</v>
      </c>
      <c r="X1" s="109">
        <v>2024</v>
      </c>
      <c r="Y1" s="109"/>
      <c r="Z1" s="109">
        <v>2024</v>
      </c>
      <c r="AA1" s="109">
        <v>2024</v>
      </c>
      <c r="AB1" s="109">
        <v>2024</v>
      </c>
      <c r="AC1" s="109">
        <v>2024</v>
      </c>
      <c r="AD1" s="109">
        <v>2024</v>
      </c>
      <c r="AE1" s="109">
        <v>2024</v>
      </c>
      <c r="AF1" s="109">
        <v>2024</v>
      </c>
      <c r="AG1" s="109">
        <v>2024</v>
      </c>
      <c r="AH1" s="109">
        <v>2024</v>
      </c>
      <c r="AI1" s="109">
        <v>2024</v>
      </c>
      <c r="AJ1" s="109">
        <v>2024</v>
      </c>
      <c r="AK1" s="109">
        <v>2024</v>
      </c>
      <c r="AL1" s="109"/>
      <c r="AM1" s="109">
        <v>2024</v>
      </c>
      <c r="AN1" s="109">
        <v>2024</v>
      </c>
    </row>
    <row r="2" spans="1:44" s="3" customFormat="1" x14ac:dyDescent="0.2">
      <c r="A2" s="3" t="s">
        <v>0</v>
      </c>
      <c r="B2" s="3" t="s">
        <v>2</v>
      </c>
      <c r="M2" s="110" t="s">
        <v>3</v>
      </c>
      <c r="N2" s="110" t="s">
        <v>3</v>
      </c>
      <c r="O2" s="110"/>
      <c r="P2" s="110" t="s">
        <v>3</v>
      </c>
      <c r="Q2" s="110" t="s">
        <v>3</v>
      </c>
      <c r="R2" s="110" t="s">
        <v>3</v>
      </c>
      <c r="S2" s="110" t="s">
        <v>3</v>
      </c>
      <c r="T2" s="110"/>
      <c r="U2" s="110" t="s">
        <v>3</v>
      </c>
      <c r="V2" s="110" t="s">
        <v>3</v>
      </c>
      <c r="W2" s="110" t="s">
        <v>3</v>
      </c>
      <c r="X2" s="110" t="s">
        <v>3</v>
      </c>
      <c r="Y2" s="110"/>
      <c r="Z2" s="110" t="s">
        <v>3</v>
      </c>
      <c r="AA2" s="110" t="s">
        <v>3</v>
      </c>
      <c r="AB2" s="110" t="s">
        <v>4</v>
      </c>
      <c r="AC2" s="110" t="s">
        <v>4</v>
      </c>
      <c r="AD2" s="110" t="s">
        <v>4</v>
      </c>
      <c r="AE2" s="110" t="s">
        <v>4</v>
      </c>
      <c r="AF2" s="110" t="s">
        <v>4</v>
      </c>
      <c r="AG2" s="110" t="s">
        <v>4</v>
      </c>
      <c r="AH2" s="110" t="s">
        <v>4</v>
      </c>
      <c r="AI2" s="110" t="s">
        <v>4</v>
      </c>
      <c r="AJ2" s="110" t="s">
        <v>4</v>
      </c>
      <c r="AK2" s="110" t="s">
        <v>4</v>
      </c>
      <c r="AL2" s="110"/>
      <c r="AM2" s="110" t="s">
        <v>4</v>
      </c>
      <c r="AN2" s="110" t="s">
        <v>4</v>
      </c>
    </row>
    <row r="3" spans="1:44" s="3" customFormat="1" x14ac:dyDescent="0.2">
      <c r="A3" s="3" t="s">
        <v>0</v>
      </c>
      <c r="B3" s="3" t="s">
        <v>5</v>
      </c>
      <c r="C3" s="106" t="s">
        <v>84</v>
      </c>
      <c r="D3" s="107" t="s">
        <v>6</v>
      </c>
      <c r="E3" s="107"/>
      <c r="F3" s="107" t="s">
        <v>6</v>
      </c>
      <c r="G3" s="108" t="s">
        <v>6</v>
      </c>
      <c r="H3" s="106" t="s">
        <v>80</v>
      </c>
      <c r="I3" s="107" t="s">
        <v>6</v>
      </c>
      <c r="J3" s="107"/>
      <c r="K3" s="107" t="s">
        <v>6</v>
      </c>
      <c r="L3" s="108" t="s">
        <v>6</v>
      </c>
      <c r="M3" s="106" t="s">
        <v>6</v>
      </c>
      <c r="N3" s="107" t="s">
        <v>6</v>
      </c>
      <c r="O3" s="107"/>
      <c r="P3" s="107" t="s">
        <v>6</v>
      </c>
      <c r="Q3" s="108" t="s">
        <v>6</v>
      </c>
      <c r="R3" s="106" t="s">
        <v>7</v>
      </c>
      <c r="S3" s="107" t="s">
        <v>7</v>
      </c>
      <c r="T3" s="107"/>
      <c r="U3" s="107" t="s">
        <v>7</v>
      </c>
      <c r="V3" s="108" t="s">
        <v>7</v>
      </c>
      <c r="W3" s="106" t="s">
        <v>8</v>
      </c>
      <c r="X3" s="107" t="s">
        <v>8</v>
      </c>
      <c r="Y3" s="107"/>
      <c r="Z3" s="107" t="s">
        <v>8</v>
      </c>
      <c r="AA3" s="108" t="s">
        <v>8</v>
      </c>
      <c r="AB3" s="106" t="s">
        <v>9</v>
      </c>
      <c r="AC3" s="107" t="s">
        <v>9</v>
      </c>
      <c r="AD3" s="107" t="s">
        <v>9</v>
      </c>
      <c r="AE3" s="108" t="s">
        <v>9</v>
      </c>
      <c r="AF3" s="106" t="s">
        <v>10</v>
      </c>
      <c r="AG3" s="107" t="s">
        <v>10</v>
      </c>
      <c r="AH3" s="107" t="s">
        <v>10</v>
      </c>
      <c r="AI3" s="108" t="s">
        <v>10</v>
      </c>
      <c r="AJ3" s="106" t="s">
        <v>11</v>
      </c>
      <c r="AK3" s="107" t="s">
        <v>11</v>
      </c>
      <c r="AL3" s="107"/>
      <c r="AM3" s="107" t="s">
        <v>11</v>
      </c>
      <c r="AN3" s="108" t="s">
        <v>11</v>
      </c>
      <c r="AO3" s="106" t="s">
        <v>32</v>
      </c>
      <c r="AP3" s="107" t="s">
        <v>11</v>
      </c>
      <c r="AQ3" s="107" t="s">
        <v>11</v>
      </c>
      <c r="AR3" s="108" t="s">
        <v>11</v>
      </c>
    </row>
    <row r="4" spans="1:44" s="3" customFormat="1" x14ac:dyDescent="0.2">
      <c r="A4" s="3" t="s">
        <v>12</v>
      </c>
      <c r="B4" s="3" t="s">
        <v>13</v>
      </c>
      <c r="C4" s="6" t="s">
        <v>14</v>
      </c>
      <c r="D4" s="3" t="s">
        <v>15</v>
      </c>
      <c r="E4" s="4">
        <v>31</v>
      </c>
      <c r="F4" s="3" t="s">
        <v>16</v>
      </c>
      <c r="G4" s="7" t="s">
        <v>17</v>
      </c>
      <c r="H4" s="6" t="s">
        <v>14</v>
      </c>
      <c r="I4" s="3" t="s">
        <v>15</v>
      </c>
      <c r="J4" s="4">
        <v>31</v>
      </c>
      <c r="K4" s="3" t="s">
        <v>16</v>
      </c>
      <c r="L4" s="7" t="s">
        <v>17</v>
      </c>
      <c r="M4" s="6" t="s">
        <v>14</v>
      </c>
      <c r="N4" s="3" t="s">
        <v>15</v>
      </c>
      <c r="O4" s="4">
        <v>30</v>
      </c>
      <c r="P4" s="3" t="s">
        <v>16</v>
      </c>
      <c r="Q4" s="7" t="s">
        <v>17</v>
      </c>
      <c r="R4" s="6" t="s">
        <v>14</v>
      </c>
      <c r="S4" s="3" t="s">
        <v>15</v>
      </c>
      <c r="T4" s="4">
        <v>31</v>
      </c>
      <c r="U4" s="3" t="s">
        <v>16</v>
      </c>
      <c r="V4" s="7" t="s">
        <v>17</v>
      </c>
      <c r="W4" s="6" t="s">
        <v>14</v>
      </c>
      <c r="X4" s="3" t="s">
        <v>15</v>
      </c>
      <c r="Y4" s="3">
        <v>30</v>
      </c>
      <c r="Z4" s="3" t="s">
        <v>16</v>
      </c>
      <c r="AA4" s="7" t="s">
        <v>17</v>
      </c>
      <c r="AB4" s="6" t="s">
        <v>14</v>
      </c>
      <c r="AC4" s="3" t="s">
        <v>15</v>
      </c>
      <c r="AD4" s="3" t="s">
        <v>16</v>
      </c>
      <c r="AE4" s="7" t="s">
        <v>17</v>
      </c>
      <c r="AF4" s="6" t="s">
        <v>14</v>
      </c>
      <c r="AG4" s="3" t="s">
        <v>15</v>
      </c>
      <c r="AH4" s="3" t="s">
        <v>16</v>
      </c>
      <c r="AI4" s="7" t="s">
        <v>17</v>
      </c>
      <c r="AJ4" s="6" t="s">
        <v>14</v>
      </c>
      <c r="AK4" s="3" t="s">
        <v>15</v>
      </c>
      <c r="AL4" s="3">
        <v>31</v>
      </c>
      <c r="AM4" s="3" t="s">
        <v>16</v>
      </c>
      <c r="AN4" s="7" t="s">
        <v>17</v>
      </c>
      <c r="AO4" s="6" t="s">
        <v>14</v>
      </c>
      <c r="AP4" s="3" t="s">
        <v>15</v>
      </c>
      <c r="AQ4" s="3" t="s">
        <v>16</v>
      </c>
      <c r="AR4" s="7" t="s">
        <v>17</v>
      </c>
    </row>
    <row r="5" spans="1:44" x14ac:dyDescent="0.2">
      <c r="A5" s="3" t="s">
        <v>18</v>
      </c>
      <c r="B5" t="s">
        <v>0</v>
      </c>
      <c r="C5" s="8">
        <f>C6+C10+C14+C21+C25+C29+C18+C19+C20</f>
        <v>86021</v>
      </c>
      <c r="D5" s="1">
        <f>D6+D10+D14+D21+D25+D29+D18+D19+D20</f>
        <v>96937</v>
      </c>
      <c r="E5" s="1">
        <f t="shared" ref="E5:E32" si="0">D5/$E$4</f>
        <v>3127</v>
      </c>
      <c r="F5" s="12">
        <f>C5/D5</f>
        <v>0.88739077957848911</v>
      </c>
      <c r="G5" s="9">
        <v>0.90231457800511505</v>
      </c>
      <c r="H5" s="8">
        <f>H6+H10+H14+H21+H25+H29+H18+H19+H20</f>
        <v>85978</v>
      </c>
      <c r="I5" s="1">
        <f>I6+I10+I14+I21+I25+I29+I18+I19+I20</f>
        <v>96937</v>
      </c>
      <c r="J5" s="1">
        <f>I5/$J$4</f>
        <v>3127</v>
      </c>
      <c r="K5" s="2">
        <f>H5/I5</f>
        <v>0.88694719250647325</v>
      </c>
      <c r="L5" s="9">
        <v>0.90231457800511505</v>
      </c>
      <c r="M5" s="8">
        <f>M6+M10+M14+M21+M25+M29+M18+M19+M20</f>
        <v>83034</v>
      </c>
      <c r="N5" s="1">
        <f>N6+N10+N14+N21+N25+N29+N18+N19+N20</f>
        <v>93810</v>
      </c>
      <c r="O5" s="1">
        <f>N5/$O$4</f>
        <v>3127</v>
      </c>
      <c r="P5" s="2">
        <f>M5/N5</f>
        <v>0.88512951710905019</v>
      </c>
      <c r="Q5" s="9">
        <v>0.90231457800511505</v>
      </c>
      <c r="R5" s="8">
        <f>R6+R10+R14+R21+R25+R29+R18+R19+R20</f>
        <v>85734</v>
      </c>
      <c r="S5" s="1">
        <f>S6+S10+S14+S21+S25+S29+S18+S19+S20</f>
        <v>96937</v>
      </c>
      <c r="T5" s="1">
        <f>S5/$T$4</f>
        <v>3127</v>
      </c>
      <c r="U5" s="2">
        <f>R5/S5</f>
        <v>0.8844300937722438</v>
      </c>
      <c r="V5" s="9">
        <v>0.90167519181585698</v>
      </c>
      <c r="W5" s="8">
        <f>W6+W10+W14+W21+W25+W29+W18+W19+W20</f>
        <v>83664</v>
      </c>
      <c r="X5" s="1">
        <f>X6+X10+X14+X21+X25+X29+X18+X19+X20</f>
        <v>93844</v>
      </c>
      <c r="Y5" s="1">
        <f>X5/$Y$4</f>
        <v>3128.1333333333332</v>
      </c>
      <c r="Z5" s="2">
        <f>W5/X5</f>
        <v>0.8915221005072248</v>
      </c>
      <c r="AA5" s="9">
        <v>0.901355498721227</v>
      </c>
      <c r="AB5" s="8">
        <f>AB6+AB10+AB14+AB21+AB25+AB29+AB18+AB19+AB20</f>
        <v>86615</v>
      </c>
      <c r="AC5" s="1">
        <f>AC6+AC10+AC14+AC21+AC25+AC29+AC18+AC19+AC20</f>
        <v>96999</v>
      </c>
      <c r="AD5" s="2">
        <f>AB5/AC5</f>
        <v>0.8929473499726801</v>
      </c>
      <c r="AE5" s="9">
        <v>0.90103580562659802</v>
      </c>
      <c r="AF5" s="8">
        <f>AF6+AF10+AF14+AF21+AF25+AF29+AF18+AF19+AF20</f>
        <v>81450</v>
      </c>
      <c r="AG5" s="1">
        <f>AG6+AG10+AG14+AG21+AG25+AG29+AG18+AG19+AG20</f>
        <v>90773</v>
      </c>
      <c r="AH5" s="2">
        <f>AF5/AG5</f>
        <v>0.89729324799224441</v>
      </c>
      <c r="AI5" s="9">
        <v>0.90023657289002501</v>
      </c>
      <c r="AJ5" s="8">
        <v>86416</v>
      </c>
      <c r="AK5" s="1">
        <v>97092</v>
      </c>
      <c r="AL5" s="1">
        <f>AK5/$AL$4</f>
        <v>3132</v>
      </c>
      <c r="AM5" s="2">
        <v>0.89004243398014304</v>
      </c>
      <c r="AN5" s="9">
        <v>0.899437340153452</v>
      </c>
      <c r="AO5" s="10">
        <f t="shared" ref="AO5:AO32" si="1">M5+R5+W5+AB5+AF5+AJ5+H5+C5</f>
        <v>678912</v>
      </c>
      <c r="AP5" s="10">
        <f t="shared" ref="AP5:AP32" si="2">N5+S5+X5+AC5+AG5+AK5+I5+D5</f>
        <v>763329</v>
      </c>
      <c r="AQ5" s="2">
        <f>AO5/AP5</f>
        <v>0.88940941586131272</v>
      </c>
      <c r="AR5" s="9">
        <v>0.90100000000000002</v>
      </c>
    </row>
    <row r="6" spans="1:44" x14ac:dyDescent="0.2">
      <c r="A6" s="103" t="s">
        <v>19</v>
      </c>
      <c r="B6" s="14" t="s">
        <v>18</v>
      </c>
      <c r="C6" s="92">
        <f>SUM(C7:C9)</f>
        <v>29048</v>
      </c>
      <c r="D6" s="93">
        <f>SUM(D7:D9)</f>
        <v>35433</v>
      </c>
      <c r="E6" s="93">
        <f t="shared" si="0"/>
        <v>1143</v>
      </c>
      <c r="F6" s="2">
        <f t="shared" ref="F6:F32" si="3">C6/D6</f>
        <v>0.81980075071261249</v>
      </c>
      <c r="G6" s="95">
        <v>0.855048118985127</v>
      </c>
      <c r="H6" s="92">
        <f>SUM(H7:H9)</f>
        <v>29073</v>
      </c>
      <c r="I6" s="93">
        <f>SUM(I7:I9)</f>
        <v>35433</v>
      </c>
      <c r="J6" s="93">
        <f t="shared" ref="J6:J32" si="4">I6/$J$4</f>
        <v>1143</v>
      </c>
      <c r="K6" s="94">
        <v>0.82496354622338897</v>
      </c>
      <c r="L6" s="95">
        <v>0.855048118985127</v>
      </c>
      <c r="M6" s="92">
        <f>SUM(M7:M9)</f>
        <v>28280</v>
      </c>
      <c r="N6" s="93">
        <v>34290</v>
      </c>
      <c r="O6" s="93">
        <f t="shared" ref="O6:O32" si="5">N6/$O$4</f>
        <v>1143</v>
      </c>
      <c r="P6" s="94">
        <v>0.82496354622338897</v>
      </c>
      <c r="Q6" s="95">
        <v>0.855048118985127</v>
      </c>
      <c r="R6" s="92">
        <v>28953</v>
      </c>
      <c r="S6" s="93">
        <v>35433</v>
      </c>
      <c r="T6" s="93">
        <f t="shared" ref="T6:T32" si="6">S6/$T$4</f>
        <v>1143</v>
      </c>
      <c r="U6" s="94">
        <v>0.81711963423926803</v>
      </c>
      <c r="V6" s="95">
        <v>0.85417322834645704</v>
      </c>
      <c r="W6" s="92">
        <v>28609</v>
      </c>
      <c r="X6" s="93">
        <v>34290</v>
      </c>
      <c r="Y6" s="93">
        <f t="shared" ref="Y6:Y32" si="7">X6/$Y$4</f>
        <v>1143</v>
      </c>
      <c r="Z6" s="94">
        <v>0.83432487605715999</v>
      </c>
      <c r="AA6" s="95">
        <v>0.85329833770778596</v>
      </c>
      <c r="AB6" s="92">
        <v>29529</v>
      </c>
      <c r="AC6" s="93">
        <v>35433</v>
      </c>
      <c r="AD6" s="94">
        <v>0.83337566675133301</v>
      </c>
      <c r="AE6" s="95">
        <v>0.85242344706911599</v>
      </c>
      <c r="AF6" s="92">
        <v>27748</v>
      </c>
      <c r="AG6" s="93">
        <v>33147</v>
      </c>
      <c r="AH6" s="94">
        <v>0.83711949799378504</v>
      </c>
      <c r="AI6" s="95">
        <v>0.85023622047244096</v>
      </c>
      <c r="AJ6" s="92">
        <v>29512</v>
      </c>
      <c r="AK6" s="93">
        <v>35433</v>
      </c>
      <c r="AL6" s="93">
        <f t="shared" ref="AL6:AL32" si="8">AK6/$AL$4</f>
        <v>1143</v>
      </c>
      <c r="AM6" s="94">
        <v>0.83289588801399805</v>
      </c>
      <c r="AN6" s="95">
        <v>0.84892388451443601</v>
      </c>
      <c r="AO6" s="8">
        <f t="shared" si="1"/>
        <v>230752</v>
      </c>
      <c r="AP6" s="8">
        <f t="shared" si="2"/>
        <v>278892</v>
      </c>
      <c r="AQ6" s="94">
        <f t="shared" ref="AQ6:AQ32" si="9">AO6/AP6</f>
        <v>0.82738837973122215</v>
      </c>
      <c r="AR6" s="95">
        <v>0.85199999999999998</v>
      </c>
    </row>
    <row r="7" spans="1:44" x14ac:dyDescent="0.2">
      <c r="A7" s="104" t="s">
        <v>19</v>
      </c>
      <c r="B7" s="15" t="s">
        <v>20</v>
      </c>
      <c r="C7" s="8">
        <f>4276-463</f>
        <v>3813</v>
      </c>
      <c r="D7" s="1">
        <v>4123</v>
      </c>
      <c r="E7" s="1">
        <f t="shared" si="0"/>
        <v>133</v>
      </c>
      <c r="F7" s="2">
        <f t="shared" si="3"/>
        <v>0.92481203007518797</v>
      </c>
      <c r="G7" s="9">
        <v>0.90977443609022601</v>
      </c>
      <c r="H7" s="8">
        <v>3781</v>
      </c>
      <c r="I7" s="1">
        <v>4123</v>
      </c>
      <c r="J7" s="1">
        <f t="shared" si="4"/>
        <v>133</v>
      </c>
      <c r="K7" s="2">
        <f t="shared" ref="K7:K32" si="10">H7/I7</f>
        <v>0.91705069124423966</v>
      </c>
      <c r="L7" s="9">
        <v>0.90977443609022601</v>
      </c>
      <c r="M7" s="8">
        <v>3594</v>
      </c>
      <c r="N7" s="1">
        <v>3990</v>
      </c>
      <c r="O7" s="1">
        <f t="shared" si="5"/>
        <v>133</v>
      </c>
      <c r="P7" s="2">
        <v>0.90050125313283202</v>
      </c>
      <c r="Q7" s="9">
        <v>0.90977443609022601</v>
      </c>
      <c r="R7" s="8">
        <v>3587</v>
      </c>
      <c r="S7" s="1">
        <v>4123</v>
      </c>
      <c r="T7" s="1">
        <f t="shared" si="6"/>
        <v>133</v>
      </c>
      <c r="U7" s="2">
        <v>0.86999757458161497</v>
      </c>
      <c r="V7" s="9">
        <v>0.90977443609022601</v>
      </c>
      <c r="W7" s="8">
        <v>3563</v>
      </c>
      <c r="X7" s="1">
        <v>3990</v>
      </c>
      <c r="Y7" s="1">
        <f t="shared" si="7"/>
        <v>133</v>
      </c>
      <c r="Z7" s="2">
        <v>0.89298245614035099</v>
      </c>
      <c r="AA7" s="9">
        <v>0.90977443609022601</v>
      </c>
      <c r="AB7" s="8">
        <v>3610</v>
      </c>
      <c r="AC7" s="1">
        <v>4123</v>
      </c>
      <c r="AD7" s="2">
        <v>0.87557603686635899</v>
      </c>
      <c r="AE7" s="9">
        <v>0.90977443609022601</v>
      </c>
      <c r="AF7" s="8">
        <v>3414</v>
      </c>
      <c r="AG7" s="1">
        <v>3857</v>
      </c>
      <c r="AH7" s="2">
        <v>0.88514389421830397</v>
      </c>
      <c r="AI7" s="9">
        <v>0.90977443609022601</v>
      </c>
      <c r="AJ7" s="8">
        <v>3660</v>
      </c>
      <c r="AK7" s="1">
        <v>4123</v>
      </c>
      <c r="AL7" s="1">
        <f t="shared" si="8"/>
        <v>133</v>
      </c>
      <c r="AM7" s="2">
        <v>0.88770312878971602</v>
      </c>
      <c r="AN7" s="9">
        <v>0.90977443609022601</v>
      </c>
      <c r="AO7" s="8">
        <f t="shared" si="1"/>
        <v>29022</v>
      </c>
      <c r="AP7" s="8">
        <f t="shared" si="2"/>
        <v>32452</v>
      </c>
      <c r="AQ7" s="2">
        <f t="shared" si="9"/>
        <v>0.89430543572044863</v>
      </c>
      <c r="AR7" s="9">
        <v>0.91</v>
      </c>
    </row>
    <row r="8" spans="1:44" x14ac:dyDescent="0.2">
      <c r="A8" s="104" t="s">
        <v>19</v>
      </c>
      <c r="B8" s="15" t="s">
        <v>21</v>
      </c>
      <c r="C8" s="8">
        <f>25853-6207</f>
        <v>19646</v>
      </c>
      <c r="D8" s="1">
        <v>25575</v>
      </c>
      <c r="E8" s="1">
        <f t="shared" si="0"/>
        <v>825</v>
      </c>
      <c r="F8" s="2">
        <f t="shared" si="3"/>
        <v>0.7681720430107527</v>
      </c>
      <c r="G8" s="9">
        <v>0.823030303030303</v>
      </c>
      <c r="H8" s="8">
        <v>19729</v>
      </c>
      <c r="I8" s="1">
        <v>25575</v>
      </c>
      <c r="J8" s="1">
        <f t="shared" si="4"/>
        <v>825</v>
      </c>
      <c r="K8" s="2">
        <f t="shared" si="10"/>
        <v>0.77141739980449653</v>
      </c>
      <c r="L8" s="9">
        <v>0.823030303030303</v>
      </c>
      <c r="M8" s="8">
        <v>19282</v>
      </c>
      <c r="N8" s="1">
        <v>24750</v>
      </c>
      <c r="O8" s="1">
        <f t="shared" si="5"/>
        <v>825</v>
      </c>
      <c r="P8" s="2">
        <v>0.77907070707070702</v>
      </c>
      <c r="Q8" s="9">
        <v>0.823030303030303</v>
      </c>
      <c r="R8" s="8">
        <v>20048</v>
      </c>
      <c r="S8" s="1">
        <v>25575</v>
      </c>
      <c r="T8" s="1">
        <f t="shared" si="6"/>
        <v>825</v>
      </c>
      <c r="U8" s="2">
        <v>0.78389051808406696</v>
      </c>
      <c r="V8" s="9">
        <v>0.821818181818182</v>
      </c>
      <c r="W8" s="8">
        <v>19485</v>
      </c>
      <c r="X8" s="1">
        <v>24750</v>
      </c>
      <c r="Y8" s="1">
        <f t="shared" si="7"/>
        <v>825</v>
      </c>
      <c r="Z8" s="2">
        <v>0.78727272727272701</v>
      </c>
      <c r="AA8" s="9">
        <v>0.82060606060606101</v>
      </c>
      <c r="AB8" s="8">
        <v>20249</v>
      </c>
      <c r="AC8" s="1">
        <v>25575</v>
      </c>
      <c r="AD8" s="2">
        <v>0.79174975562072303</v>
      </c>
      <c r="AE8" s="9">
        <v>0.81939393939393901</v>
      </c>
      <c r="AF8" s="8">
        <v>19046</v>
      </c>
      <c r="AG8" s="1">
        <v>23925</v>
      </c>
      <c r="AH8" s="2">
        <v>0.79607105538139999</v>
      </c>
      <c r="AI8" s="9">
        <v>0.81636363636363596</v>
      </c>
      <c r="AJ8" s="8">
        <v>20467</v>
      </c>
      <c r="AK8" s="1">
        <v>25575</v>
      </c>
      <c r="AL8" s="1">
        <f t="shared" si="8"/>
        <v>825</v>
      </c>
      <c r="AM8" s="2">
        <v>0.80027370478983395</v>
      </c>
      <c r="AN8" s="9">
        <v>0.81454545454545502</v>
      </c>
      <c r="AO8" s="8">
        <f t="shared" si="1"/>
        <v>157952</v>
      </c>
      <c r="AP8" s="8">
        <f t="shared" si="2"/>
        <v>201300</v>
      </c>
      <c r="AQ8" s="2">
        <f t="shared" si="9"/>
        <v>0.78465971187282668</v>
      </c>
      <c r="AR8" s="9">
        <v>0.81899999999999995</v>
      </c>
    </row>
    <row r="9" spans="1:44" x14ac:dyDescent="0.2">
      <c r="A9" s="105" t="s">
        <v>19</v>
      </c>
      <c r="B9" s="16" t="s">
        <v>22</v>
      </c>
      <c r="C9" s="10">
        <v>5589</v>
      </c>
      <c r="D9" s="11">
        <v>5735</v>
      </c>
      <c r="E9" s="11">
        <f t="shared" si="0"/>
        <v>185</v>
      </c>
      <c r="F9" s="12">
        <f t="shared" si="3"/>
        <v>0.97454228421970357</v>
      </c>
      <c r="G9" s="13">
        <v>0.95848648648648604</v>
      </c>
      <c r="H9" s="10">
        <v>5563</v>
      </c>
      <c r="I9" s="11">
        <v>5735</v>
      </c>
      <c r="J9" s="11">
        <f t="shared" si="4"/>
        <v>185</v>
      </c>
      <c r="K9" s="12">
        <f t="shared" si="10"/>
        <v>0.97000871839581515</v>
      </c>
      <c r="L9" s="13">
        <v>0.95848648648648604</v>
      </c>
      <c r="M9" s="10">
        <v>5404</v>
      </c>
      <c r="N9" s="11">
        <v>5550</v>
      </c>
      <c r="O9" s="11">
        <f t="shared" si="5"/>
        <v>185</v>
      </c>
      <c r="P9" s="12">
        <v>0.97531531531531501</v>
      </c>
      <c r="Q9" s="13">
        <v>0.95848648648648604</v>
      </c>
      <c r="R9" s="10">
        <v>5318</v>
      </c>
      <c r="S9" s="11">
        <v>5735</v>
      </c>
      <c r="T9" s="11">
        <f t="shared" si="6"/>
        <v>185</v>
      </c>
      <c r="U9" s="12">
        <v>0.92728857890148197</v>
      </c>
      <c r="V9" s="13">
        <v>0.95848648648648604</v>
      </c>
      <c r="W9" s="10">
        <v>5561</v>
      </c>
      <c r="X9" s="11">
        <v>5550</v>
      </c>
      <c r="Y9" s="11">
        <f t="shared" si="7"/>
        <v>185</v>
      </c>
      <c r="Z9" s="12">
        <v>1.00198198198198</v>
      </c>
      <c r="AA9" s="13">
        <v>0.95848648648648604</v>
      </c>
      <c r="AB9" s="10">
        <v>5670</v>
      </c>
      <c r="AC9" s="11">
        <v>5735</v>
      </c>
      <c r="AD9" s="12">
        <v>0.98866608544027901</v>
      </c>
      <c r="AE9" s="13">
        <v>0.95848648648648604</v>
      </c>
      <c r="AF9" s="10">
        <v>5288</v>
      </c>
      <c r="AG9" s="11">
        <v>5365</v>
      </c>
      <c r="AH9" s="12">
        <v>0.98564771668219897</v>
      </c>
      <c r="AI9" s="13">
        <v>0.95848648648648604</v>
      </c>
      <c r="AJ9" s="10">
        <v>5385</v>
      </c>
      <c r="AK9" s="11">
        <v>5735</v>
      </c>
      <c r="AL9" s="11">
        <f t="shared" si="8"/>
        <v>185</v>
      </c>
      <c r="AM9" s="12">
        <v>0.93897122929381005</v>
      </c>
      <c r="AN9" s="13">
        <v>0.95848648648648604</v>
      </c>
      <c r="AO9" s="10">
        <f t="shared" si="1"/>
        <v>43778</v>
      </c>
      <c r="AP9" s="10">
        <f t="shared" si="2"/>
        <v>45140</v>
      </c>
      <c r="AQ9" s="12">
        <f t="shared" si="9"/>
        <v>0.96982720425343372</v>
      </c>
      <c r="AR9" s="13">
        <v>0.95799999999999996</v>
      </c>
    </row>
    <row r="10" spans="1:44" x14ac:dyDescent="0.2">
      <c r="A10" s="103" t="s">
        <v>23</v>
      </c>
      <c r="B10" s="14" t="s">
        <v>18</v>
      </c>
      <c r="C10" s="92">
        <f>C11+C12+C13</f>
        <v>10968</v>
      </c>
      <c r="D10" s="93">
        <f>D11+D12+D13</f>
        <v>11532</v>
      </c>
      <c r="E10" s="93">
        <f t="shared" si="0"/>
        <v>372</v>
      </c>
      <c r="F10" s="94">
        <f t="shared" si="3"/>
        <v>0.95109261186264304</v>
      </c>
      <c r="G10" s="95">
        <v>0.93069892473118299</v>
      </c>
      <c r="H10" s="92">
        <f>H11+H12+H13</f>
        <v>10839</v>
      </c>
      <c r="I10" s="93">
        <f>I11+I12+I13</f>
        <v>11532</v>
      </c>
      <c r="J10" s="93">
        <f t="shared" si="4"/>
        <v>372</v>
      </c>
      <c r="K10" s="94">
        <f t="shared" si="10"/>
        <v>0.93990634755463054</v>
      </c>
      <c r="L10" s="95">
        <v>0.93069892473118299</v>
      </c>
      <c r="M10" s="92">
        <f>M11+M12+M13</f>
        <v>10255</v>
      </c>
      <c r="N10" s="93">
        <f>N11+N12+N13</f>
        <v>11160</v>
      </c>
      <c r="O10" s="93">
        <f t="shared" si="5"/>
        <v>372</v>
      </c>
      <c r="P10" s="94">
        <f t="shared" ref="P10:P17" si="11">M10/N10</f>
        <v>0.91890681003584229</v>
      </c>
      <c r="Q10" s="95">
        <v>0.93069892473118299</v>
      </c>
      <c r="R10" s="92">
        <f>R11+R12+R13</f>
        <v>10576</v>
      </c>
      <c r="S10" s="93">
        <f>S11+S12+S13</f>
        <v>11532</v>
      </c>
      <c r="T10" s="93">
        <f t="shared" si="6"/>
        <v>372</v>
      </c>
      <c r="U10" s="94">
        <f t="shared" ref="U10:U17" si="12">R10/S10</f>
        <v>0.91710024280263613</v>
      </c>
      <c r="V10" s="95">
        <v>0.93069892473118199</v>
      </c>
      <c r="W10" s="92">
        <f>W11+W12+W13</f>
        <v>10250</v>
      </c>
      <c r="X10" s="93">
        <f>X11+X12+X13</f>
        <v>11160</v>
      </c>
      <c r="Y10" s="93">
        <f t="shared" si="7"/>
        <v>372</v>
      </c>
      <c r="Z10" s="94">
        <f t="shared" ref="Z10:Z17" si="13">W10/X10</f>
        <v>0.9184587813620072</v>
      </c>
      <c r="AA10" s="95">
        <v>0.93069892473118299</v>
      </c>
      <c r="AB10" s="92">
        <f>AB11+AB12+AB13</f>
        <v>10466</v>
      </c>
      <c r="AC10" s="93">
        <f>AC11+AC12+AC13</f>
        <v>11532</v>
      </c>
      <c r="AD10" s="94">
        <f>AB10/AC10</f>
        <v>0.9075615678113077</v>
      </c>
      <c r="AE10" s="95">
        <v>0.93069892473118199</v>
      </c>
      <c r="AF10" s="92">
        <f>AF11+AF12+AF13</f>
        <v>9910</v>
      </c>
      <c r="AG10" s="93">
        <f>AG11+AG12+AG13</f>
        <v>10788</v>
      </c>
      <c r="AH10" s="94">
        <f>AF10/AG10</f>
        <v>0.91861327400815718</v>
      </c>
      <c r="AI10" s="95">
        <v>0.93069892473118199</v>
      </c>
      <c r="AJ10" s="92">
        <v>10720</v>
      </c>
      <c r="AK10" s="93">
        <v>11532</v>
      </c>
      <c r="AL10" s="93">
        <f t="shared" si="8"/>
        <v>372</v>
      </c>
      <c r="AM10" s="94">
        <v>0.92958723551855704</v>
      </c>
      <c r="AN10" s="95">
        <v>0.93069892473118299</v>
      </c>
      <c r="AO10" s="8">
        <f t="shared" si="1"/>
        <v>83984</v>
      </c>
      <c r="AP10" s="8">
        <f t="shared" si="2"/>
        <v>90768</v>
      </c>
      <c r="AQ10" s="94">
        <f t="shared" si="9"/>
        <v>0.92526000352547155</v>
      </c>
      <c r="AR10" s="95">
        <v>0.93100000000000005</v>
      </c>
    </row>
    <row r="11" spans="1:44" x14ac:dyDescent="0.2">
      <c r="A11" s="104" t="s">
        <v>23</v>
      </c>
      <c r="B11" s="15" t="s">
        <v>20</v>
      </c>
      <c r="C11" s="8">
        <f>806-62</f>
        <v>744</v>
      </c>
      <c r="D11" s="1">
        <v>744</v>
      </c>
      <c r="E11" s="1">
        <f t="shared" si="0"/>
        <v>24</v>
      </c>
      <c r="F11" s="2">
        <f t="shared" si="3"/>
        <v>1</v>
      </c>
      <c r="G11" s="9">
        <v>0.98</v>
      </c>
      <c r="H11" s="8">
        <f>806-62</f>
        <v>744</v>
      </c>
      <c r="I11" s="1">
        <v>744</v>
      </c>
      <c r="J11" s="1">
        <f t="shared" si="4"/>
        <v>24</v>
      </c>
      <c r="K11" s="2">
        <f t="shared" si="10"/>
        <v>1</v>
      </c>
      <c r="L11" s="9">
        <v>0.98</v>
      </c>
      <c r="M11" s="8">
        <v>710</v>
      </c>
      <c r="N11" s="1">
        <v>720</v>
      </c>
      <c r="O11" s="1">
        <f t="shared" si="5"/>
        <v>24</v>
      </c>
      <c r="P11" s="2">
        <f t="shared" si="11"/>
        <v>0.98611111111111116</v>
      </c>
      <c r="Q11" s="9">
        <v>0.98</v>
      </c>
      <c r="R11" s="8">
        <v>722</v>
      </c>
      <c r="S11" s="1">
        <v>744</v>
      </c>
      <c r="T11" s="1">
        <f t="shared" si="6"/>
        <v>24</v>
      </c>
      <c r="U11" s="2">
        <f t="shared" si="12"/>
        <v>0.97043010752688175</v>
      </c>
      <c r="V11" s="9">
        <v>0.98</v>
      </c>
      <c r="W11" s="8">
        <v>714</v>
      </c>
      <c r="X11" s="1">
        <v>720</v>
      </c>
      <c r="Y11" s="1">
        <f t="shared" si="7"/>
        <v>24</v>
      </c>
      <c r="Z11" s="2">
        <f t="shared" si="13"/>
        <v>0.9916666666666667</v>
      </c>
      <c r="AA11" s="9">
        <v>0.98</v>
      </c>
      <c r="AB11" s="8">
        <v>744</v>
      </c>
      <c r="AC11" s="1">
        <v>744</v>
      </c>
      <c r="AD11" s="2">
        <f>AB11/AC11</f>
        <v>1</v>
      </c>
      <c r="AE11" s="9">
        <v>0.98</v>
      </c>
      <c r="AF11" s="8">
        <v>691</v>
      </c>
      <c r="AG11" s="1">
        <v>696</v>
      </c>
      <c r="AH11" s="2">
        <f>AF11/AG11</f>
        <v>0.99281609195402298</v>
      </c>
      <c r="AI11" s="9">
        <v>0.98</v>
      </c>
      <c r="AJ11" s="8">
        <v>729</v>
      </c>
      <c r="AK11" s="1">
        <v>744</v>
      </c>
      <c r="AL11" s="1">
        <f t="shared" si="8"/>
        <v>24</v>
      </c>
      <c r="AM11" s="2">
        <v>0.97983870967741904</v>
      </c>
      <c r="AN11" s="9">
        <v>0.98</v>
      </c>
      <c r="AO11" s="8">
        <f t="shared" si="1"/>
        <v>5798</v>
      </c>
      <c r="AP11" s="8">
        <f t="shared" si="2"/>
        <v>5856</v>
      </c>
      <c r="AQ11" s="2">
        <f t="shared" si="9"/>
        <v>0.99009562841530052</v>
      </c>
      <c r="AR11" s="9">
        <v>0.98</v>
      </c>
    </row>
    <row r="12" spans="1:44" x14ac:dyDescent="0.2">
      <c r="A12" s="104" t="s">
        <v>23</v>
      </c>
      <c r="B12" s="15" t="s">
        <v>21</v>
      </c>
      <c r="C12" s="8">
        <f>12004-3027</f>
        <v>8977</v>
      </c>
      <c r="D12" s="1">
        <v>9300</v>
      </c>
      <c r="E12" s="1">
        <f t="shared" si="0"/>
        <v>300</v>
      </c>
      <c r="F12" s="2">
        <f t="shared" si="3"/>
        <v>0.96526881720430102</v>
      </c>
      <c r="G12" s="9">
        <v>0.94233333333333302</v>
      </c>
      <c r="H12" s="8">
        <v>9004</v>
      </c>
      <c r="I12" s="1">
        <v>9300</v>
      </c>
      <c r="J12" s="1">
        <f t="shared" si="4"/>
        <v>300</v>
      </c>
      <c r="K12" s="2">
        <f t="shared" si="10"/>
        <v>0.96817204301075266</v>
      </c>
      <c r="L12" s="9">
        <v>0.94233333333333302</v>
      </c>
      <c r="M12" s="8">
        <v>8507</v>
      </c>
      <c r="N12" s="1">
        <v>9000</v>
      </c>
      <c r="O12" s="1">
        <f t="shared" si="5"/>
        <v>300</v>
      </c>
      <c r="P12" s="2">
        <f t="shared" si="11"/>
        <v>0.94522222222222219</v>
      </c>
      <c r="Q12" s="9">
        <v>0.94233333333333302</v>
      </c>
      <c r="R12" s="8">
        <v>8850</v>
      </c>
      <c r="S12" s="1">
        <v>9300</v>
      </c>
      <c r="T12" s="1">
        <f t="shared" si="6"/>
        <v>300</v>
      </c>
      <c r="U12" s="2">
        <f t="shared" si="12"/>
        <v>0.95161290322580649</v>
      </c>
      <c r="V12" s="9">
        <v>0.94233333333333302</v>
      </c>
      <c r="W12" s="8">
        <v>8563</v>
      </c>
      <c r="X12" s="1">
        <v>9000</v>
      </c>
      <c r="Y12" s="1">
        <f t="shared" si="7"/>
        <v>300</v>
      </c>
      <c r="Z12" s="2">
        <f t="shared" si="13"/>
        <v>0.95144444444444443</v>
      </c>
      <c r="AA12" s="9">
        <v>0.94233333333333302</v>
      </c>
      <c r="AB12" s="8">
        <v>8790</v>
      </c>
      <c r="AC12" s="1">
        <v>9300</v>
      </c>
      <c r="AD12" s="2">
        <f>AB12/AC12</f>
        <v>0.94516129032258067</v>
      </c>
      <c r="AE12" s="9">
        <v>0.94233333333333302</v>
      </c>
      <c r="AF12" s="8">
        <v>8218</v>
      </c>
      <c r="AG12" s="1">
        <v>8700</v>
      </c>
      <c r="AH12" s="2">
        <f>AF12/AG12</f>
        <v>0.94459770114942532</v>
      </c>
      <c r="AI12" s="9">
        <v>0.94233333333333302</v>
      </c>
      <c r="AJ12" s="8">
        <v>8932</v>
      </c>
      <c r="AK12" s="1">
        <v>9300</v>
      </c>
      <c r="AL12" s="1">
        <f t="shared" si="8"/>
        <v>300</v>
      </c>
      <c r="AM12" s="2">
        <v>0.96043010752688196</v>
      </c>
      <c r="AN12" s="9">
        <v>0.94233333333333302</v>
      </c>
      <c r="AO12" s="8">
        <f t="shared" si="1"/>
        <v>69841</v>
      </c>
      <c r="AP12" s="8">
        <f t="shared" si="2"/>
        <v>73200</v>
      </c>
      <c r="AQ12" s="2">
        <f t="shared" si="9"/>
        <v>0.95411202185792354</v>
      </c>
      <c r="AR12" s="9">
        <v>0.94199999999999995</v>
      </c>
    </row>
    <row r="13" spans="1:44" x14ac:dyDescent="0.2">
      <c r="A13" s="105" t="s">
        <v>23</v>
      </c>
      <c r="B13" s="16" t="s">
        <v>22</v>
      </c>
      <c r="C13" s="10">
        <v>1247</v>
      </c>
      <c r="D13" s="11">
        <v>1488</v>
      </c>
      <c r="E13" s="11">
        <f t="shared" si="0"/>
        <v>48</v>
      </c>
      <c r="F13" s="12">
        <f t="shared" si="3"/>
        <v>0.83803763440860213</v>
      </c>
      <c r="G13" s="13">
        <v>0.83333333333333304</v>
      </c>
      <c r="H13" s="10">
        <v>1091</v>
      </c>
      <c r="I13" s="11">
        <v>1488</v>
      </c>
      <c r="J13" s="11">
        <f t="shared" si="4"/>
        <v>48</v>
      </c>
      <c r="K13" s="12">
        <f t="shared" si="10"/>
        <v>0.73319892473118276</v>
      </c>
      <c r="L13" s="13">
        <v>0.83333333333333304</v>
      </c>
      <c r="M13" s="10">
        <v>1038</v>
      </c>
      <c r="N13" s="11">
        <f>48*30</f>
        <v>1440</v>
      </c>
      <c r="O13" s="11">
        <f t="shared" si="5"/>
        <v>48</v>
      </c>
      <c r="P13" s="12">
        <f t="shared" si="11"/>
        <v>0.72083333333333333</v>
      </c>
      <c r="Q13" s="13">
        <v>0.83333333333333304</v>
      </c>
      <c r="R13" s="10">
        <v>1004</v>
      </c>
      <c r="S13" s="11">
        <v>1488</v>
      </c>
      <c r="T13" s="11">
        <f t="shared" si="6"/>
        <v>48</v>
      </c>
      <c r="U13" s="12">
        <f t="shared" si="12"/>
        <v>0.67473118279569888</v>
      </c>
      <c r="V13" s="13">
        <v>0.83333333333333304</v>
      </c>
      <c r="W13" s="10">
        <v>973</v>
      </c>
      <c r="X13" s="11">
        <v>1440</v>
      </c>
      <c r="Y13" s="11">
        <f t="shared" si="7"/>
        <v>48</v>
      </c>
      <c r="Z13" s="12">
        <f t="shared" si="13"/>
        <v>0.67569444444444449</v>
      </c>
      <c r="AA13" s="13">
        <v>0.83333333333333304</v>
      </c>
      <c r="AB13" s="10">
        <v>932</v>
      </c>
      <c r="AC13" s="11">
        <v>1488</v>
      </c>
      <c r="AD13" s="12">
        <f>AB13/AC13</f>
        <v>0.62634408602150538</v>
      </c>
      <c r="AE13" s="13">
        <v>0.83333333333333304</v>
      </c>
      <c r="AF13" s="10">
        <v>1001</v>
      </c>
      <c r="AG13" s="11">
        <v>1392</v>
      </c>
      <c r="AH13" s="12">
        <f>AF13/AG13</f>
        <v>0.7191091954022989</v>
      </c>
      <c r="AI13" s="13">
        <v>0.83333333333333304</v>
      </c>
      <c r="AJ13" s="10">
        <v>1059</v>
      </c>
      <c r="AK13" s="11">
        <v>1488</v>
      </c>
      <c r="AL13" s="11">
        <f t="shared" si="8"/>
        <v>48</v>
      </c>
      <c r="AM13" s="12">
        <v>0.71169354838709697</v>
      </c>
      <c r="AN13" s="13">
        <v>0.83333333333333304</v>
      </c>
      <c r="AO13" s="10">
        <f t="shared" si="1"/>
        <v>8345</v>
      </c>
      <c r="AP13" s="10">
        <f t="shared" si="2"/>
        <v>11712</v>
      </c>
      <c r="AQ13" s="12">
        <f t="shared" si="9"/>
        <v>0.71251707650273222</v>
      </c>
      <c r="AR13" s="13">
        <v>0.83299999999999996</v>
      </c>
    </row>
    <row r="14" spans="1:44" x14ac:dyDescent="0.2">
      <c r="A14" s="103" t="s">
        <v>25</v>
      </c>
      <c r="B14" s="14" t="s">
        <v>18</v>
      </c>
      <c r="C14" s="92">
        <f>C15+C16+C17</f>
        <v>16419</v>
      </c>
      <c r="D14" s="93">
        <f>D15+D16+D17</f>
        <v>17360</v>
      </c>
      <c r="E14" s="93">
        <f t="shared" si="0"/>
        <v>560</v>
      </c>
      <c r="F14" s="94">
        <f t="shared" si="3"/>
        <v>0.94579493087557609</v>
      </c>
      <c r="G14" s="95">
        <v>0.95192857142857101</v>
      </c>
      <c r="H14" s="92">
        <f>H15+H16+H17</f>
        <v>16541</v>
      </c>
      <c r="I14" s="93">
        <f>I15+I16+I17</f>
        <v>17360</v>
      </c>
      <c r="J14" s="93">
        <f t="shared" si="4"/>
        <v>560</v>
      </c>
      <c r="K14" s="94">
        <f t="shared" si="10"/>
        <v>0.95282258064516134</v>
      </c>
      <c r="L14" s="95">
        <v>0.95192857142857101</v>
      </c>
      <c r="M14" s="92">
        <f>M15+M16+M17</f>
        <v>15985</v>
      </c>
      <c r="N14" s="93">
        <f>N15+N16+N17</f>
        <v>16800</v>
      </c>
      <c r="O14" s="93">
        <f t="shared" si="5"/>
        <v>560</v>
      </c>
      <c r="P14" s="94">
        <f t="shared" si="11"/>
        <v>0.95148809523809519</v>
      </c>
      <c r="Q14" s="95">
        <v>0.95192857142857101</v>
      </c>
      <c r="R14" s="92">
        <f>R15+R16+R17</f>
        <v>16667</v>
      </c>
      <c r="S14" s="93">
        <f>S15+S16+S17</f>
        <v>17360</v>
      </c>
      <c r="T14" s="93">
        <f t="shared" si="6"/>
        <v>560</v>
      </c>
      <c r="U14" s="94">
        <f t="shared" si="12"/>
        <v>0.96008064516129032</v>
      </c>
      <c r="V14" s="95">
        <v>0.95192857142857101</v>
      </c>
      <c r="W14" s="92">
        <f>W15+W16+W17</f>
        <v>16197</v>
      </c>
      <c r="X14" s="93">
        <f>X15+X16+X17</f>
        <v>16800</v>
      </c>
      <c r="Y14" s="93">
        <f t="shared" si="7"/>
        <v>560</v>
      </c>
      <c r="Z14" s="94">
        <f t="shared" si="13"/>
        <v>0.96410714285714283</v>
      </c>
      <c r="AA14" s="95">
        <v>0.95192857142857101</v>
      </c>
      <c r="AB14" s="92">
        <v>16699</v>
      </c>
      <c r="AC14" s="93">
        <v>17360</v>
      </c>
      <c r="AD14" s="94">
        <v>0.96192396313364104</v>
      </c>
      <c r="AE14" s="95">
        <v>0.95192857142857001</v>
      </c>
      <c r="AF14" s="92">
        <v>15732</v>
      </c>
      <c r="AG14" s="93">
        <v>16240</v>
      </c>
      <c r="AH14" s="94">
        <v>0.96871921182265996</v>
      </c>
      <c r="AI14" s="95">
        <v>0.95192857142857001</v>
      </c>
      <c r="AJ14" s="92">
        <v>16689</v>
      </c>
      <c r="AK14" s="93">
        <v>17360</v>
      </c>
      <c r="AL14" s="93">
        <f t="shared" si="8"/>
        <v>560</v>
      </c>
      <c r="AM14" s="94">
        <v>0.96134792626728105</v>
      </c>
      <c r="AN14" s="95">
        <v>0.95192857142857001</v>
      </c>
      <c r="AO14" s="8">
        <f t="shared" si="1"/>
        <v>130929</v>
      </c>
      <c r="AP14" s="8">
        <f t="shared" si="2"/>
        <v>136640</v>
      </c>
      <c r="AQ14" s="94">
        <f t="shared" si="9"/>
        <v>0.95820403981264635</v>
      </c>
      <c r="AR14" s="95">
        <v>0.95199999999999996</v>
      </c>
    </row>
    <row r="15" spans="1:44" x14ac:dyDescent="0.2">
      <c r="A15" s="104" t="s">
        <v>25</v>
      </c>
      <c r="B15" s="15" t="s">
        <v>20</v>
      </c>
      <c r="C15" s="8">
        <f>3087-124</f>
        <v>2963</v>
      </c>
      <c r="D15" s="1">
        <v>3100</v>
      </c>
      <c r="E15" s="1">
        <f t="shared" si="0"/>
        <v>100</v>
      </c>
      <c r="F15" s="2">
        <f t="shared" si="3"/>
        <v>0.95580645161290323</v>
      </c>
      <c r="G15" s="9">
        <v>0.96</v>
      </c>
      <c r="H15" s="8">
        <f>3111-124</f>
        <v>2987</v>
      </c>
      <c r="I15" s="1">
        <v>3100</v>
      </c>
      <c r="J15" s="1">
        <f t="shared" si="4"/>
        <v>100</v>
      </c>
      <c r="K15" s="2">
        <f t="shared" si="10"/>
        <v>0.96354838709677415</v>
      </c>
      <c r="L15" s="9">
        <v>0.96</v>
      </c>
      <c r="M15" s="8">
        <f>2983-98</f>
        <v>2885</v>
      </c>
      <c r="N15" s="1">
        <v>3000</v>
      </c>
      <c r="O15" s="1">
        <f t="shared" si="5"/>
        <v>100</v>
      </c>
      <c r="P15" s="2">
        <f t="shared" si="11"/>
        <v>0.96166666666666667</v>
      </c>
      <c r="Q15" s="9">
        <v>0.96</v>
      </c>
      <c r="R15" s="8">
        <v>3004</v>
      </c>
      <c r="S15" s="1">
        <v>3100</v>
      </c>
      <c r="T15" s="1">
        <f t="shared" si="6"/>
        <v>100</v>
      </c>
      <c r="U15" s="2">
        <f t="shared" si="12"/>
        <v>0.96903225806451609</v>
      </c>
      <c r="V15" s="9">
        <v>0.96</v>
      </c>
      <c r="W15" s="8">
        <v>2959</v>
      </c>
      <c r="X15" s="1">
        <v>3000</v>
      </c>
      <c r="Y15" s="1">
        <f t="shared" si="7"/>
        <v>100</v>
      </c>
      <c r="Z15" s="2">
        <f t="shared" si="13"/>
        <v>0.98633333333333328</v>
      </c>
      <c r="AA15" s="9">
        <v>0.96</v>
      </c>
      <c r="AB15" s="8">
        <v>3017</v>
      </c>
      <c r="AC15" s="1">
        <v>3100</v>
      </c>
      <c r="AD15" s="2">
        <v>0.97322580645161305</v>
      </c>
      <c r="AE15" s="9">
        <v>0.96</v>
      </c>
      <c r="AF15" s="8">
        <v>2844</v>
      </c>
      <c r="AG15" s="1">
        <v>2900</v>
      </c>
      <c r="AH15" s="2">
        <v>0.98068965517241402</v>
      </c>
      <c r="AI15" s="9">
        <v>0.96</v>
      </c>
      <c r="AJ15" s="8">
        <v>2954</v>
      </c>
      <c r="AK15" s="1">
        <v>3100</v>
      </c>
      <c r="AL15" s="1">
        <f t="shared" si="8"/>
        <v>100</v>
      </c>
      <c r="AM15" s="2">
        <v>0.95290322580645204</v>
      </c>
      <c r="AN15" s="9">
        <v>0.96</v>
      </c>
      <c r="AO15" s="8">
        <f t="shared" si="1"/>
        <v>23613</v>
      </c>
      <c r="AP15" s="8">
        <f t="shared" si="2"/>
        <v>24400</v>
      </c>
      <c r="AQ15" s="2">
        <f t="shared" si="9"/>
        <v>0.96774590163934426</v>
      </c>
      <c r="AR15" s="9">
        <v>0.96</v>
      </c>
    </row>
    <row r="16" spans="1:44" x14ac:dyDescent="0.2">
      <c r="A16" s="104" t="s">
        <v>25</v>
      </c>
      <c r="B16" s="15" t="s">
        <v>21</v>
      </c>
      <c r="C16" s="8">
        <f>15084-3549</f>
        <v>11535</v>
      </c>
      <c r="D16" s="1">
        <v>12121</v>
      </c>
      <c r="E16" s="1">
        <f t="shared" si="0"/>
        <v>391</v>
      </c>
      <c r="F16" s="2">
        <f t="shared" si="3"/>
        <v>0.95165415394769404</v>
      </c>
      <c r="G16" s="9">
        <v>0.95020460358056202</v>
      </c>
      <c r="H16" s="8">
        <v>11527</v>
      </c>
      <c r="I16" s="1">
        <v>12121</v>
      </c>
      <c r="J16" s="1">
        <f t="shared" si="4"/>
        <v>391</v>
      </c>
      <c r="K16" s="2">
        <f t="shared" si="10"/>
        <v>0.95099414239749192</v>
      </c>
      <c r="L16" s="9">
        <v>0.95020460358056202</v>
      </c>
      <c r="M16" s="8">
        <f>11181-30</f>
        <v>11151</v>
      </c>
      <c r="N16" s="1">
        <v>11730</v>
      </c>
      <c r="O16" s="1">
        <f t="shared" si="5"/>
        <v>391</v>
      </c>
      <c r="P16" s="2">
        <f t="shared" si="11"/>
        <v>0.95063938618925836</v>
      </c>
      <c r="Q16" s="9">
        <v>0.95020460358056202</v>
      </c>
      <c r="R16" s="8">
        <f>11647-31</f>
        <v>11616</v>
      </c>
      <c r="S16" s="1">
        <v>12121</v>
      </c>
      <c r="T16" s="1">
        <f t="shared" si="6"/>
        <v>391</v>
      </c>
      <c r="U16" s="2">
        <f t="shared" si="12"/>
        <v>0.95833677089349067</v>
      </c>
      <c r="V16" s="9">
        <v>0.95020460358056202</v>
      </c>
      <c r="W16" s="8">
        <f>11293-30</f>
        <v>11263</v>
      </c>
      <c r="X16" s="1">
        <v>11730</v>
      </c>
      <c r="Y16" s="1">
        <f t="shared" si="7"/>
        <v>391</v>
      </c>
      <c r="Z16" s="2">
        <f t="shared" si="13"/>
        <v>0.96018755328218242</v>
      </c>
      <c r="AA16" s="9">
        <v>0.95020460358056202</v>
      </c>
      <c r="AB16" s="8">
        <v>11648</v>
      </c>
      <c r="AC16" s="1">
        <v>12121</v>
      </c>
      <c r="AD16" s="2">
        <v>0.96097681709429905</v>
      </c>
      <c r="AE16" s="9">
        <v>0.95020460358056102</v>
      </c>
      <c r="AF16" s="8">
        <v>10942</v>
      </c>
      <c r="AG16" s="1">
        <v>11339</v>
      </c>
      <c r="AH16" s="2">
        <v>0.96498809418819997</v>
      </c>
      <c r="AI16" s="9">
        <v>0.95020460358056102</v>
      </c>
      <c r="AJ16" s="8">
        <v>11637</v>
      </c>
      <c r="AK16" s="1">
        <v>12121</v>
      </c>
      <c r="AL16" s="1">
        <f t="shared" si="8"/>
        <v>391</v>
      </c>
      <c r="AM16" s="2">
        <v>0.96006930121277101</v>
      </c>
      <c r="AN16" s="9">
        <v>0.95020460358056102</v>
      </c>
      <c r="AO16" s="8">
        <f t="shared" si="1"/>
        <v>91319</v>
      </c>
      <c r="AP16" s="8">
        <f t="shared" si="2"/>
        <v>95404</v>
      </c>
      <c r="AQ16" s="2">
        <f t="shared" si="9"/>
        <v>0.95718208880130817</v>
      </c>
      <c r="AR16" s="9">
        <v>0.95</v>
      </c>
    </row>
    <row r="17" spans="1:44" x14ac:dyDescent="0.2">
      <c r="A17" s="105" t="s">
        <v>25</v>
      </c>
      <c r="B17" s="16" t="s">
        <v>22</v>
      </c>
      <c r="C17" s="10">
        <v>1921</v>
      </c>
      <c r="D17" s="11">
        <v>2139</v>
      </c>
      <c r="E17" s="11">
        <f t="shared" si="0"/>
        <v>69</v>
      </c>
      <c r="F17" s="12">
        <f t="shared" si="3"/>
        <v>0.89808321645628797</v>
      </c>
      <c r="G17" s="13">
        <v>0.95</v>
      </c>
      <c r="H17" s="10">
        <v>2027</v>
      </c>
      <c r="I17" s="11">
        <v>2139</v>
      </c>
      <c r="J17" s="11">
        <f t="shared" si="4"/>
        <v>69</v>
      </c>
      <c r="K17" s="12">
        <f t="shared" si="10"/>
        <v>0.94763908368396443</v>
      </c>
      <c r="L17" s="13">
        <v>0.95</v>
      </c>
      <c r="M17" s="10">
        <v>1949</v>
      </c>
      <c r="N17" s="11">
        <v>2070</v>
      </c>
      <c r="O17" s="11">
        <f t="shared" si="5"/>
        <v>69</v>
      </c>
      <c r="P17" s="12">
        <f t="shared" si="11"/>
        <v>0.94154589371980679</v>
      </c>
      <c r="Q17" s="13">
        <v>0.95</v>
      </c>
      <c r="R17" s="10">
        <v>2047</v>
      </c>
      <c r="S17" s="11">
        <v>2139</v>
      </c>
      <c r="T17" s="11">
        <f t="shared" si="6"/>
        <v>69</v>
      </c>
      <c r="U17" s="12">
        <f t="shared" si="12"/>
        <v>0.956989247311828</v>
      </c>
      <c r="V17" s="13">
        <v>0.95</v>
      </c>
      <c r="W17" s="10">
        <v>1975</v>
      </c>
      <c r="X17" s="11">
        <v>2070</v>
      </c>
      <c r="Y17" s="11">
        <f t="shared" si="7"/>
        <v>69</v>
      </c>
      <c r="Z17" s="12">
        <f t="shared" si="13"/>
        <v>0.95410628019323673</v>
      </c>
      <c r="AA17" s="13">
        <v>0.95</v>
      </c>
      <c r="AB17" s="10">
        <v>2034</v>
      </c>
      <c r="AC17" s="11">
        <v>2139</v>
      </c>
      <c r="AD17" s="12">
        <v>0.95091164095371705</v>
      </c>
      <c r="AE17" s="13">
        <v>0.95</v>
      </c>
      <c r="AF17" s="10">
        <v>1946</v>
      </c>
      <c r="AG17" s="11">
        <v>2001</v>
      </c>
      <c r="AH17" s="12">
        <v>0.97251374312843597</v>
      </c>
      <c r="AI17" s="13">
        <v>0.95</v>
      </c>
      <c r="AJ17" s="10">
        <v>2098</v>
      </c>
      <c r="AK17" s="11">
        <v>2139</v>
      </c>
      <c r="AL17" s="11">
        <f t="shared" si="8"/>
        <v>69</v>
      </c>
      <c r="AM17" s="12">
        <v>0.98083216456288003</v>
      </c>
      <c r="AN17" s="13">
        <v>0.95</v>
      </c>
      <c r="AO17" s="10">
        <f t="shared" si="1"/>
        <v>15997</v>
      </c>
      <c r="AP17" s="10">
        <f t="shared" si="2"/>
        <v>16836</v>
      </c>
      <c r="AQ17" s="12">
        <f t="shared" si="9"/>
        <v>0.95016631028747922</v>
      </c>
      <c r="AR17" s="13">
        <v>0.95</v>
      </c>
    </row>
    <row r="18" spans="1:44" x14ac:dyDescent="0.2">
      <c r="A18" s="91" t="s">
        <v>26</v>
      </c>
      <c r="B18" s="17" t="s">
        <v>0</v>
      </c>
      <c r="C18" s="96">
        <f>2046+1162</f>
        <v>3208</v>
      </c>
      <c r="D18" s="97">
        <v>3286</v>
      </c>
      <c r="E18" s="97">
        <f t="shared" si="0"/>
        <v>106</v>
      </c>
      <c r="F18" s="98">
        <f t="shared" si="3"/>
        <v>0.97626293365794281</v>
      </c>
      <c r="G18" s="99">
        <v>0.97169811320754695</v>
      </c>
      <c r="H18" s="96">
        <v>3233</v>
      </c>
      <c r="I18" s="97">
        <v>3286</v>
      </c>
      <c r="J18" s="97">
        <f t="shared" si="4"/>
        <v>106</v>
      </c>
      <c r="K18" s="98">
        <f t="shared" si="10"/>
        <v>0.9838709677419355</v>
      </c>
      <c r="L18" s="99">
        <v>0.97169811320754695</v>
      </c>
      <c r="M18" s="96">
        <v>3078</v>
      </c>
      <c r="N18" s="97">
        <v>3180</v>
      </c>
      <c r="O18" s="97">
        <f t="shared" si="5"/>
        <v>106</v>
      </c>
      <c r="P18" s="98">
        <v>0.96792452830188702</v>
      </c>
      <c r="Q18" s="99">
        <v>0.97169811320754695</v>
      </c>
      <c r="R18" s="96">
        <v>3220</v>
      </c>
      <c r="S18" s="97">
        <v>3286</v>
      </c>
      <c r="T18" s="97">
        <f t="shared" si="6"/>
        <v>106</v>
      </c>
      <c r="U18" s="98">
        <v>0.97991479001825899</v>
      </c>
      <c r="V18" s="99">
        <v>0.97169811320754695</v>
      </c>
      <c r="W18" s="96">
        <v>3146</v>
      </c>
      <c r="X18" s="97">
        <v>3180</v>
      </c>
      <c r="Y18" s="97">
        <f t="shared" si="7"/>
        <v>106</v>
      </c>
      <c r="Z18" s="98">
        <v>0.98930817610062904</v>
      </c>
      <c r="AA18" s="99">
        <v>0.97169811320754695</v>
      </c>
      <c r="AB18" s="96">
        <v>3209</v>
      </c>
      <c r="AC18" s="97">
        <v>3286</v>
      </c>
      <c r="AD18" s="98">
        <v>0.97656725502130204</v>
      </c>
      <c r="AE18" s="99">
        <v>0.97169811320754695</v>
      </c>
      <c r="AF18" s="96">
        <v>2954</v>
      </c>
      <c r="AG18" s="97">
        <v>3074</v>
      </c>
      <c r="AH18" s="98">
        <v>0.96096291476903095</v>
      </c>
      <c r="AI18" s="99">
        <v>0.97169811320754695</v>
      </c>
      <c r="AJ18" s="96">
        <v>3097</v>
      </c>
      <c r="AK18" s="97">
        <v>3286</v>
      </c>
      <c r="AL18" s="97">
        <f t="shared" si="8"/>
        <v>106</v>
      </c>
      <c r="AM18" s="98">
        <v>0.942483262325015</v>
      </c>
      <c r="AN18" s="99">
        <v>0.97169811320754695</v>
      </c>
      <c r="AO18" s="96">
        <f t="shared" si="1"/>
        <v>25145</v>
      </c>
      <c r="AP18" s="96">
        <f t="shared" si="2"/>
        <v>25864</v>
      </c>
      <c r="AQ18" s="98">
        <f t="shared" si="9"/>
        <v>0.97220074234457166</v>
      </c>
      <c r="AR18" s="99">
        <v>0.97199999999999998</v>
      </c>
    </row>
    <row r="19" spans="1:44" x14ac:dyDescent="0.2">
      <c r="A19" s="91" t="s">
        <v>27</v>
      </c>
      <c r="B19" s="17" t="s">
        <v>0</v>
      </c>
      <c r="C19" s="96">
        <v>2750</v>
      </c>
      <c r="D19" s="97">
        <v>2945</v>
      </c>
      <c r="E19" s="97">
        <f t="shared" si="0"/>
        <v>95</v>
      </c>
      <c r="F19" s="98">
        <f t="shared" si="3"/>
        <v>0.93378607809847203</v>
      </c>
      <c r="G19" s="99">
        <v>0.91578947368421004</v>
      </c>
      <c r="H19" s="96">
        <v>2766</v>
      </c>
      <c r="I19" s="97">
        <v>2945</v>
      </c>
      <c r="J19" s="97">
        <f t="shared" si="4"/>
        <v>95</v>
      </c>
      <c r="K19" s="98">
        <f t="shared" si="10"/>
        <v>0.93921901528013585</v>
      </c>
      <c r="L19" s="99">
        <v>0.91578947368421004</v>
      </c>
      <c r="M19" s="96">
        <v>2714</v>
      </c>
      <c r="N19" s="97">
        <v>2850</v>
      </c>
      <c r="O19" s="97">
        <f t="shared" si="5"/>
        <v>95</v>
      </c>
      <c r="P19" s="98">
        <v>0.95228070175438595</v>
      </c>
      <c r="Q19" s="99">
        <v>0.91578947368421004</v>
      </c>
      <c r="R19" s="96">
        <v>2830</v>
      </c>
      <c r="S19" s="97">
        <v>2945</v>
      </c>
      <c r="T19" s="97">
        <f t="shared" si="6"/>
        <v>95</v>
      </c>
      <c r="U19" s="98">
        <v>0.96095076400679103</v>
      </c>
      <c r="V19" s="99">
        <v>0.91578947368421004</v>
      </c>
      <c r="W19" s="96">
        <v>2746</v>
      </c>
      <c r="X19" s="97">
        <v>2850</v>
      </c>
      <c r="Y19" s="97">
        <f t="shared" si="7"/>
        <v>95</v>
      </c>
      <c r="Z19" s="98">
        <v>0.96350877192982498</v>
      </c>
      <c r="AA19" s="99">
        <v>0.91578947368421004</v>
      </c>
      <c r="AB19" s="96">
        <v>2763</v>
      </c>
      <c r="AC19" s="97">
        <v>2945</v>
      </c>
      <c r="AD19" s="98">
        <v>0.93820033955857396</v>
      </c>
      <c r="AE19" s="99">
        <v>0.91578947368421004</v>
      </c>
      <c r="AF19" s="96">
        <v>2549</v>
      </c>
      <c r="AG19" s="97">
        <v>2755</v>
      </c>
      <c r="AH19" s="98">
        <v>0.92522686025408396</v>
      </c>
      <c r="AI19" s="99">
        <v>0.91578947368421004</v>
      </c>
      <c r="AJ19" s="96">
        <v>2627</v>
      </c>
      <c r="AK19" s="97">
        <v>2945</v>
      </c>
      <c r="AL19" s="97">
        <f t="shared" si="8"/>
        <v>95</v>
      </c>
      <c r="AM19" s="98">
        <v>0.89202037351443098</v>
      </c>
      <c r="AN19" s="99">
        <v>0.91578947368421004</v>
      </c>
      <c r="AO19" s="96">
        <f t="shared" si="1"/>
        <v>21745</v>
      </c>
      <c r="AP19" s="96">
        <f t="shared" si="2"/>
        <v>23180</v>
      </c>
      <c r="AQ19" s="98">
        <f t="shared" si="9"/>
        <v>0.93809318377911988</v>
      </c>
      <c r="AR19" s="99">
        <v>0.91600000000000004</v>
      </c>
    </row>
    <row r="20" spans="1:44" x14ac:dyDescent="0.2">
      <c r="A20" s="91" t="s">
        <v>28</v>
      </c>
      <c r="B20" s="17" t="s">
        <v>0</v>
      </c>
      <c r="C20" s="96">
        <v>1120</v>
      </c>
      <c r="D20" s="97">
        <v>1612</v>
      </c>
      <c r="E20" s="97">
        <f t="shared" si="0"/>
        <v>52</v>
      </c>
      <c r="F20" s="98">
        <f t="shared" si="3"/>
        <v>0.69478908188585609</v>
      </c>
      <c r="G20" s="99">
        <v>0.77980769230769198</v>
      </c>
      <c r="H20" s="96">
        <v>1056</v>
      </c>
      <c r="I20" s="97">
        <v>1612</v>
      </c>
      <c r="J20" s="97">
        <f t="shared" si="4"/>
        <v>52</v>
      </c>
      <c r="K20" s="98">
        <f t="shared" si="10"/>
        <v>0.6550868486352357</v>
      </c>
      <c r="L20" s="99">
        <v>0.77980769230769198</v>
      </c>
      <c r="M20" s="96">
        <v>985</v>
      </c>
      <c r="N20" s="97">
        <v>1560</v>
      </c>
      <c r="O20" s="97">
        <f t="shared" si="5"/>
        <v>52</v>
      </c>
      <c r="P20" s="98">
        <v>0.63141025641025605</v>
      </c>
      <c r="Q20" s="99">
        <v>0.77980769230769198</v>
      </c>
      <c r="R20" s="96">
        <v>1025</v>
      </c>
      <c r="S20" s="97">
        <v>1612</v>
      </c>
      <c r="T20" s="97">
        <f t="shared" si="6"/>
        <v>52</v>
      </c>
      <c r="U20" s="98">
        <v>0.63585607940446698</v>
      </c>
      <c r="V20" s="99">
        <v>0.77980769230769198</v>
      </c>
      <c r="W20" s="96">
        <v>1040</v>
      </c>
      <c r="X20" s="97">
        <v>1560</v>
      </c>
      <c r="Y20" s="97">
        <f t="shared" si="7"/>
        <v>52</v>
      </c>
      <c r="Z20" s="98">
        <v>0.66666666666666696</v>
      </c>
      <c r="AA20" s="99">
        <v>0.77980769230769198</v>
      </c>
      <c r="AB20" s="96">
        <v>1196</v>
      </c>
      <c r="AC20" s="97">
        <v>1612</v>
      </c>
      <c r="AD20" s="98">
        <v>0.74193548387096797</v>
      </c>
      <c r="AE20" s="99">
        <v>0.77980769230769198</v>
      </c>
      <c r="AF20" s="96">
        <v>1159</v>
      </c>
      <c r="AG20" s="97">
        <v>1508</v>
      </c>
      <c r="AH20" s="98">
        <v>0.76856763925729399</v>
      </c>
      <c r="AI20" s="99">
        <v>0.77980769230769198</v>
      </c>
      <c r="AJ20" s="96">
        <v>1214</v>
      </c>
      <c r="AK20" s="97">
        <v>1612</v>
      </c>
      <c r="AL20" s="97">
        <f t="shared" si="8"/>
        <v>52</v>
      </c>
      <c r="AM20" s="98">
        <v>0.75310173697270499</v>
      </c>
      <c r="AN20" s="99">
        <v>0.77980769230769198</v>
      </c>
      <c r="AO20" s="96">
        <f t="shared" si="1"/>
        <v>8795</v>
      </c>
      <c r="AP20" s="96">
        <f t="shared" si="2"/>
        <v>12688</v>
      </c>
      <c r="AQ20" s="98">
        <f t="shared" si="9"/>
        <v>0.69317465321563687</v>
      </c>
      <c r="AR20" s="99">
        <v>0.78</v>
      </c>
    </row>
    <row r="21" spans="1:44" x14ac:dyDescent="0.2">
      <c r="A21" s="103" t="s">
        <v>29</v>
      </c>
      <c r="B21" s="14" t="s">
        <v>18</v>
      </c>
      <c r="C21" s="92">
        <f>C22+C23+C24</f>
        <v>7306</v>
      </c>
      <c r="D21" s="93">
        <f>D22+D23+D24</f>
        <v>7533</v>
      </c>
      <c r="E21" s="93">
        <f t="shared" si="0"/>
        <v>243</v>
      </c>
      <c r="F21" s="94">
        <f t="shared" si="3"/>
        <v>0.96986592327094123</v>
      </c>
      <c r="G21" s="95">
        <v>0.94641975308642001</v>
      </c>
      <c r="H21" s="92">
        <f>H22+H23+H24</f>
        <v>7278</v>
      </c>
      <c r="I21" s="93">
        <f>I22+I23+I24</f>
        <v>7533</v>
      </c>
      <c r="J21" s="93">
        <f t="shared" si="4"/>
        <v>243</v>
      </c>
      <c r="K21" s="94">
        <f t="shared" si="10"/>
        <v>0.96614894464356826</v>
      </c>
      <c r="L21" s="95">
        <v>0.94641975308642001</v>
      </c>
      <c r="M21" s="92">
        <f>M22+M23+M24</f>
        <v>7012</v>
      </c>
      <c r="N21" s="93">
        <f>N22+N23+N24</f>
        <v>7290</v>
      </c>
      <c r="O21" s="93">
        <f t="shared" si="5"/>
        <v>243</v>
      </c>
      <c r="P21" s="94">
        <f t="shared" ref="P21:P32" si="14">M21/N21</f>
        <v>0.96186556927297673</v>
      </c>
      <c r="Q21" s="95">
        <v>0.94641975308642001</v>
      </c>
      <c r="R21" s="92">
        <f>R22+R23+R24</f>
        <v>7244</v>
      </c>
      <c r="S21" s="93">
        <f>S22+S23+S24</f>
        <v>7533</v>
      </c>
      <c r="T21" s="93">
        <f t="shared" si="6"/>
        <v>243</v>
      </c>
      <c r="U21" s="94">
        <f>R21/S21</f>
        <v>0.96163547059604404</v>
      </c>
      <c r="V21" s="95">
        <v>0.94641975308642001</v>
      </c>
      <c r="W21" s="92">
        <f>W22+W23+W24</f>
        <v>6908</v>
      </c>
      <c r="X21" s="93">
        <f>X22+X23+X24</f>
        <v>7290</v>
      </c>
      <c r="Y21" s="93">
        <f t="shared" si="7"/>
        <v>243</v>
      </c>
      <c r="Z21" s="94">
        <f>W21/X21</f>
        <v>0.94759945130315504</v>
      </c>
      <c r="AA21" s="95">
        <v>0.94641975308642001</v>
      </c>
      <c r="AB21" s="92">
        <v>7193</v>
      </c>
      <c r="AC21" s="93">
        <v>7533</v>
      </c>
      <c r="AD21" s="94">
        <v>0.95486525952475798</v>
      </c>
      <c r="AE21" s="95">
        <v>0.94641975308642001</v>
      </c>
      <c r="AF21" s="92">
        <v>6781</v>
      </c>
      <c r="AG21" s="93">
        <v>7047</v>
      </c>
      <c r="AH21" s="94">
        <v>0.96225344118064404</v>
      </c>
      <c r="AI21" s="95">
        <v>0.94641975308642001</v>
      </c>
      <c r="AJ21" s="92">
        <v>7186</v>
      </c>
      <c r="AK21" s="93">
        <v>7533</v>
      </c>
      <c r="AL21" s="93">
        <f t="shared" si="8"/>
        <v>243</v>
      </c>
      <c r="AM21" s="94">
        <v>0.95393601486791402</v>
      </c>
      <c r="AN21" s="95">
        <v>0.94641975308642001</v>
      </c>
      <c r="AO21" s="8">
        <f t="shared" si="1"/>
        <v>56908</v>
      </c>
      <c r="AP21" s="8">
        <f t="shared" si="2"/>
        <v>59292</v>
      </c>
      <c r="AQ21" s="94">
        <f t="shared" si="9"/>
        <v>0.95979221480132226</v>
      </c>
      <c r="AR21" s="95">
        <v>0.94599999999999995</v>
      </c>
    </row>
    <row r="22" spans="1:44" x14ac:dyDescent="0.2">
      <c r="A22" s="104" t="s">
        <v>29</v>
      </c>
      <c r="B22" s="15" t="s">
        <v>20</v>
      </c>
      <c r="C22" s="8">
        <f>811-62</f>
        <v>749</v>
      </c>
      <c r="D22" s="1">
        <v>775</v>
      </c>
      <c r="E22" s="1">
        <f t="shared" si="0"/>
        <v>25</v>
      </c>
      <c r="F22" s="2">
        <f t="shared" si="3"/>
        <v>0.96645161290322579</v>
      </c>
      <c r="G22" s="9">
        <v>0.92</v>
      </c>
      <c r="H22" s="8">
        <f>758-62</f>
        <v>696</v>
      </c>
      <c r="I22" s="1">
        <v>775</v>
      </c>
      <c r="J22" s="1">
        <f t="shared" si="4"/>
        <v>25</v>
      </c>
      <c r="K22" s="2">
        <f t="shared" si="10"/>
        <v>0.89806451612903226</v>
      </c>
      <c r="L22" s="9">
        <v>0.92</v>
      </c>
      <c r="M22" s="8">
        <v>717</v>
      </c>
      <c r="N22" s="1">
        <v>750</v>
      </c>
      <c r="O22" s="1">
        <f t="shared" si="5"/>
        <v>25</v>
      </c>
      <c r="P22" s="2">
        <f t="shared" si="14"/>
        <v>0.95599999999999996</v>
      </c>
      <c r="Q22" s="9">
        <v>0.92</v>
      </c>
      <c r="R22" s="8">
        <v>770</v>
      </c>
      <c r="S22" s="1">
        <v>775</v>
      </c>
      <c r="T22" s="1">
        <f t="shared" si="6"/>
        <v>25</v>
      </c>
      <c r="U22" s="2">
        <f>R22/S22</f>
        <v>0.99354838709677418</v>
      </c>
      <c r="V22" s="9">
        <v>0.92</v>
      </c>
      <c r="W22" s="8">
        <v>710</v>
      </c>
      <c r="X22" s="1">
        <v>750</v>
      </c>
      <c r="Y22" s="1">
        <f t="shared" si="7"/>
        <v>25</v>
      </c>
      <c r="Z22" s="2">
        <f>W22/X22</f>
        <v>0.94666666666666666</v>
      </c>
      <c r="AA22" s="9">
        <v>0.92</v>
      </c>
      <c r="AB22" s="8">
        <v>709</v>
      </c>
      <c r="AC22" s="1">
        <v>775</v>
      </c>
      <c r="AD22" s="2">
        <v>0.91483870967741898</v>
      </c>
      <c r="AE22" s="9">
        <v>0.92</v>
      </c>
      <c r="AF22" s="8">
        <v>681</v>
      </c>
      <c r="AG22" s="1">
        <v>725</v>
      </c>
      <c r="AH22" s="2">
        <v>0.93931034482758602</v>
      </c>
      <c r="AI22" s="9">
        <v>0.92</v>
      </c>
      <c r="AJ22" s="8">
        <v>711</v>
      </c>
      <c r="AK22" s="1">
        <v>775</v>
      </c>
      <c r="AL22" s="1">
        <f t="shared" si="8"/>
        <v>25</v>
      </c>
      <c r="AM22" s="2">
        <v>0.91741935483870996</v>
      </c>
      <c r="AN22" s="9">
        <v>0.92</v>
      </c>
      <c r="AO22" s="8">
        <f t="shared" si="1"/>
        <v>5743</v>
      </c>
      <c r="AP22" s="8">
        <f t="shared" si="2"/>
        <v>6100</v>
      </c>
      <c r="AQ22" s="2">
        <f t="shared" si="9"/>
        <v>0.94147540983606559</v>
      </c>
      <c r="AR22" s="9">
        <v>0.92</v>
      </c>
    </row>
    <row r="23" spans="1:44" x14ac:dyDescent="0.2">
      <c r="A23" s="104" t="s">
        <v>29</v>
      </c>
      <c r="B23" s="15" t="s">
        <v>21</v>
      </c>
      <c r="C23" s="8">
        <f>5864-1209</f>
        <v>4655</v>
      </c>
      <c r="D23" s="1">
        <v>4774</v>
      </c>
      <c r="E23" s="1">
        <f t="shared" si="0"/>
        <v>154</v>
      </c>
      <c r="F23" s="2">
        <f t="shared" si="3"/>
        <v>0.97507331378299122</v>
      </c>
      <c r="G23" s="9">
        <v>0.951168831168831</v>
      </c>
      <c r="H23" s="8">
        <v>4647</v>
      </c>
      <c r="I23" s="1">
        <v>4774</v>
      </c>
      <c r="J23" s="1">
        <f t="shared" si="4"/>
        <v>154</v>
      </c>
      <c r="K23" s="2">
        <f t="shared" si="10"/>
        <v>0.97339757017176376</v>
      </c>
      <c r="L23" s="9">
        <v>0.951168831168831</v>
      </c>
      <c r="M23" s="8">
        <v>4436</v>
      </c>
      <c r="N23" s="1">
        <v>4620</v>
      </c>
      <c r="O23" s="1">
        <f t="shared" si="5"/>
        <v>154</v>
      </c>
      <c r="P23" s="2">
        <f t="shared" si="14"/>
        <v>0.96017316017316012</v>
      </c>
      <c r="Q23" s="9">
        <v>0.951168831168831</v>
      </c>
      <c r="R23" s="8">
        <v>4560</v>
      </c>
      <c r="S23" s="1">
        <v>4774</v>
      </c>
      <c r="T23" s="1">
        <f t="shared" si="6"/>
        <v>154</v>
      </c>
      <c r="U23" s="2">
        <f>R23/S23</f>
        <v>0.95517385839966484</v>
      </c>
      <c r="V23" s="9">
        <v>0.951168831168831</v>
      </c>
      <c r="W23" s="8">
        <v>4350</v>
      </c>
      <c r="X23" s="1">
        <v>4620</v>
      </c>
      <c r="Y23" s="1">
        <f t="shared" si="7"/>
        <v>154</v>
      </c>
      <c r="Z23" s="2">
        <f>W23/X23</f>
        <v>0.94155844155844159</v>
      </c>
      <c r="AA23" s="9">
        <v>0.951168831168831</v>
      </c>
      <c r="AB23" s="8">
        <v>4580</v>
      </c>
      <c r="AC23" s="1">
        <v>4774</v>
      </c>
      <c r="AD23" s="2">
        <v>0.95936321742773401</v>
      </c>
      <c r="AE23" s="9">
        <v>0.951168831168831</v>
      </c>
      <c r="AF23" s="8">
        <v>4272</v>
      </c>
      <c r="AG23" s="1">
        <v>4466</v>
      </c>
      <c r="AH23" s="2">
        <v>0.956560680698612</v>
      </c>
      <c r="AI23" s="9">
        <v>0.951168831168831</v>
      </c>
      <c r="AJ23" s="8">
        <v>4579</v>
      </c>
      <c r="AK23" s="1">
        <v>4774</v>
      </c>
      <c r="AL23" s="1">
        <f t="shared" si="8"/>
        <v>154</v>
      </c>
      <c r="AM23" s="2">
        <v>0.95915374947633003</v>
      </c>
      <c r="AN23" s="9">
        <v>0.951168831168831</v>
      </c>
      <c r="AO23" s="8">
        <f t="shared" si="1"/>
        <v>36079</v>
      </c>
      <c r="AP23" s="8">
        <f t="shared" si="2"/>
        <v>37576</v>
      </c>
      <c r="AQ23" s="2">
        <f t="shared" si="9"/>
        <v>0.96016074089844583</v>
      </c>
      <c r="AR23" s="9">
        <v>0.95099999999999996</v>
      </c>
    </row>
    <row r="24" spans="1:44" x14ac:dyDescent="0.2">
      <c r="A24" s="105" t="s">
        <v>29</v>
      </c>
      <c r="B24" s="16" t="s">
        <v>22</v>
      </c>
      <c r="C24" s="10">
        <v>1902</v>
      </c>
      <c r="D24" s="11">
        <v>1984</v>
      </c>
      <c r="E24" s="11">
        <f t="shared" si="0"/>
        <v>64</v>
      </c>
      <c r="F24" s="12">
        <f t="shared" si="3"/>
        <v>0.95866935483870963</v>
      </c>
      <c r="G24" s="13">
        <v>0.9453125</v>
      </c>
      <c r="H24" s="10">
        <v>1935</v>
      </c>
      <c r="I24" s="11">
        <v>1984</v>
      </c>
      <c r="J24" s="11">
        <f t="shared" si="4"/>
        <v>64</v>
      </c>
      <c r="K24" s="12">
        <f t="shared" si="10"/>
        <v>0.97530241935483875</v>
      </c>
      <c r="L24" s="13">
        <v>0.9453125</v>
      </c>
      <c r="M24" s="10">
        <v>1859</v>
      </c>
      <c r="N24" s="11">
        <v>1920</v>
      </c>
      <c r="O24" s="11">
        <f t="shared" si="5"/>
        <v>64</v>
      </c>
      <c r="P24" s="12">
        <f t="shared" si="14"/>
        <v>0.9682291666666667</v>
      </c>
      <c r="Q24" s="13">
        <v>0.9453125</v>
      </c>
      <c r="R24" s="10">
        <v>1914</v>
      </c>
      <c r="S24" s="11">
        <v>1984</v>
      </c>
      <c r="T24" s="11">
        <f t="shared" si="6"/>
        <v>64</v>
      </c>
      <c r="U24" s="12">
        <f>R24/S24</f>
        <v>0.96471774193548387</v>
      </c>
      <c r="V24" s="13">
        <v>0.9453125</v>
      </c>
      <c r="W24" s="10">
        <v>1848</v>
      </c>
      <c r="X24" s="11">
        <v>1920</v>
      </c>
      <c r="Y24" s="11">
        <f t="shared" si="7"/>
        <v>64</v>
      </c>
      <c r="Z24" s="12">
        <f>W24/X24</f>
        <v>0.96250000000000002</v>
      </c>
      <c r="AA24" s="13">
        <v>0.9453125</v>
      </c>
      <c r="AB24" s="10">
        <v>1904</v>
      </c>
      <c r="AC24" s="11">
        <v>1984</v>
      </c>
      <c r="AD24" s="12">
        <v>0.95967741935483897</v>
      </c>
      <c r="AE24" s="13">
        <v>0.9453125</v>
      </c>
      <c r="AF24" s="10">
        <v>1828</v>
      </c>
      <c r="AG24" s="11">
        <v>1856</v>
      </c>
      <c r="AH24" s="12">
        <v>0.98491379310344795</v>
      </c>
      <c r="AI24" s="13">
        <v>0.9453125</v>
      </c>
      <c r="AJ24" s="10">
        <v>1896</v>
      </c>
      <c r="AK24" s="11">
        <v>1984</v>
      </c>
      <c r="AL24" s="11">
        <f t="shared" si="8"/>
        <v>64</v>
      </c>
      <c r="AM24" s="12">
        <v>0.95564516129032295</v>
      </c>
      <c r="AN24" s="13">
        <v>0.9453125</v>
      </c>
      <c r="AO24" s="10">
        <f t="shared" si="1"/>
        <v>15086</v>
      </c>
      <c r="AP24" s="10">
        <f t="shared" si="2"/>
        <v>15616</v>
      </c>
      <c r="AQ24" s="12">
        <f t="shared" si="9"/>
        <v>0.96606045081967218</v>
      </c>
      <c r="AR24" s="13">
        <v>0.94499999999999995</v>
      </c>
    </row>
    <row r="25" spans="1:44" x14ac:dyDescent="0.2">
      <c r="A25" s="103" t="s">
        <v>30</v>
      </c>
      <c r="B25" s="14" t="s">
        <v>18</v>
      </c>
      <c r="C25" s="92">
        <f>C26+C27+C28</f>
        <v>7652</v>
      </c>
      <c r="D25" s="93">
        <f>D26+D27+D28</f>
        <v>8835</v>
      </c>
      <c r="E25" s="93">
        <f t="shared" si="0"/>
        <v>285</v>
      </c>
      <c r="F25" s="94">
        <f t="shared" si="3"/>
        <v>0.86610073571024337</v>
      </c>
      <c r="G25" s="95">
        <v>0.86878048780487804</v>
      </c>
      <c r="H25" s="92">
        <f>H26+H27+H28</f>
        <v>7637</v>
      </c>
      <c r="I25" s="93">
        <f>I26+I27+I28</f>
        <v>8835</v>
      </c>
      <c r="J25" s="93">
        <f t="shared" si="4"/>
        <v>285</v>
      </c>
      <c r="K25" s="94">
        <f t="shared" si="10"/>
        <v>0.86440294284097341</v>
      </c>
      <c r="L25" s="95">
        <v>0.86878048780487804</v>
      </c>
      <c r="M25" s="92">
        <f>M26+M27+M28</f>
        <v>7362</v>
      </c>
      <c r="N25" s="93">
        <f>N26+N27+N28</f>
        <v>8550</v>
      </c>
      <c r="O25" s="93">
        <f t="shared" si="5"/>
        <v>285</v>
      </c>
      <c r="P25" s="94">
        <f t="shared" si="14"/>
        <v>0.8610526315789474</v>
      </c>
      <c r="Q25" s="95">
        <v>0.86878048780487804</v>
      </c>
      <c r="R25" s="92">
        <v>7577</v>
      </c>
      <c r="S25" s="93">
        <v>8835</v>
      </c>
      <c r="T25" s="93">
        <f t="shared" si="6"/>
        <v>285</v>
      </c>
      <c r="U25" s="94">
        <v>0.85761177136389399</v>
      </c>
      <c r="V25" s="95">
        <v>0.86878048780487804</v>
      </c>
      <c r="W25" s="92">
        <v>7390</v>
      </c>
      <c r="X25" s="93">
        <v>8584</v>
      </c>
      <c r="Y25" s="93">
        <f t="shared" si="7"/>
        <v>286.13333333333333</v>
      </c>
      <c r="Z25" s="94">
        <v>0.86090400745573203</v>
      </c>
      <c r="AA25" s="95">
        <v>0.86878048780487804</v>
      </c>
      <c r="AB25" s="92">
        <v>7806</v>
      </c>
      <c r="AC25" s="93">
        <v>8897</v>
      </c>
      <c r="AD25" s="94">
        <v>0.87737439586377397</v>
      </c>
      <c r="AE25" s="95">
        <v>0.86878048780487804</v>
      </c>
      <c r="AF25" s="92">
        <v>7264</v>
      </c>
      <c r="AG25" s="93">
        <v>8323</v>
      </c>
      <c r="AH25" s="94">
        <v>0.87276222515919699</v>
      </c>
      <c r="AI25" s="95">
        <v>0.86878048780487804</v>
      </c>
      <c r="AJ25" s="92">
        <v>7580</v>
      </c>
      <c r="AK25" s="93">
        <v>8897</v>
      </c>
      <c r="AL25" s="93">
        <f t="shared" si="8"/>
        <v>287</v>
      </c>
      <c r="AM25" s="94">
        <v>0.851972575025289</v>
      </c>
      <c r="AN25" s="95">
        <v>0.86878048780487804</v>
      </c>
      <c r="AO25" s="8">
        <f t="shared" si="1"/>
        <v>60268</v>
      </c>
      <c r="AP25" s="8">
        <f t="shared" si="2"/>
        <v>69756</v>
      </c>
      <c r="AQ25" s="94">
        <f t="shared" si="9"/>
        <v>0.86398302654968751</v>
      </c>
      <c r="AR25" s="95">
        <v>0.86899999999999999</v>
      </c>
    </row>
    <row r="26" spans="1:44" x14ac:dyDescent="0.2">
      <c r="A26" s="104" t="s">
        <v>30</v>
      </c>
      <c r="B26" s="15" t="s">
        <v>20</v>
      </c>
      <c r="C26" s="8">
        <f>1203-93</f>
        <v>1110</v>
      </c>
      <c r="D26" s="1">
        <v>1178</v>
      </c>
      <c r="E26" s="1">
        <f t="shared" si="0"/>
        <v>38</v>
      </c>
      <c r="F26" s="2">
        <f t="shared" si="3"/>
        <v>0.94227504244482174</v>
      </c>
      <c r="G26" s="9">
        <v>0.93</v>
      </c>
      <c r="H26" s="8">
        <f>1235-93</f>
        <v>1142</v>
      </c>
      <c r="I26" s="1">
        <v>1178</v>
      </c>
      <c r="J26" s="1">
        <f t="shared" si="4"/>
        <v>38</v>
      </c>
      <c r="K26" s="2">
        <f t="shared" si="10"/>
        <v>0.96943972835314096</v>
      </c>
      <c r="L26" s="9">
        <v>0.93</v>
      </c>
      <c r="M26" s="8">
        <v>1044</v>
      </c>
      <c r="N26" s="1">
        <v>1140</v>
      </c>
      <c r="O26" s="1">
        <f t="shared" si="5"/>
        <v>38</v>
      </c>
      <c r="P26" s="2">
        <f t="shared" si="14"/>
        <v>0.91578947368421049</v>
      </c>
      <c r="Q26" s="9">
        <v>0.93</v>
      </c>
      <c r="R26" s="8">
        <v>1085</v>
      </c>
      <c r="S26" s="1">
        <v>1178</v>
      </c>
      <c r="T26" s="1">
        <f t="shared" si="6"/>
        <v>38</v>
      </c>
      <c r="U26" s="2">
        <v>0.92105263157894701</v>
      </c>
      <c r="V26" s="9">
        <v>0.93</v>
      </c>
      <c r="W26" s="8">
        <v>1043</v>
      </c>
      <c r="X26" s="1">
        <v>1140</v>
      </c>
      <c r="Y26" s="1">
        <f t="shared" si="7"/>
        <v>38</v>
      </c>
      <c r="Z26" s="2">
        <v>0.91491228070175401</v>
      </c>
      <c r="AA26" s="9">
        <v>0.93</v>
      </c>
      <c r="AB26" s="8">
        <v>1159</v>
      </c>
      <c r="AC26" s="1">
        <v>1178</v>
      </c>
      <c r="AD26" s="2">
        <v>0.98387096774193505</v>
      </c>
      <c r="AE26" s="9">
        <v>0.93</v>
      </c>
      <c r="AF26" s="8">
        <v>1046</v>
      </c>
      <c r="AG26" s="1">
        <v>1102</v>
      </c>
      <c r="AH26" s="2">
        <v>0.94918330308529897</v>
      </c>
      <c r="AI26" s="9">
        <v>0.93</v>
      </c>
      <c r="AJ26" s="8">
        <v>1054</v>
      </c>
      <c r="AK26" s="1">
        <v>1178</v>
      </c>
      <c r="AL26" s="1">
        <f t="shared" si="8"/>
        <v>38</v>
      </c>
      <c r="AM26" s="2">
        <v>0.89473684210526305</v>
      </c>
      <c r="AN26" s="9">
        <v>0.93</v>
      </c>
      <c r="AO26" s="8">
        <f t="shared" si="1"/>
        <v>8683</v>
      </c>
      <c r="AP26" s="8">
        <f t="shared" si="2"/>
        <v>9272</v>
      </c>
      <c r="AQ26" s="2">
        <f t="shared" si="9"/>
        <v>0.93647540983606559</v>
      </c>
      <c r="AR26" s="9">
        <v>0.93</v>
      </c>
    </row>
    <row r="27" spans="1:44" x14ac:dyDescent="0.2">
      <c r="A27" s="104" t="s">
        <v>30</v>
      </c>
      <c r="B27" s="15" t="s">
        <v>21</v>
      </c>
      <c r="C27" s="8">
        <f>4707-1023</f>
        <v>3684</v>
      </c>
      <c r="D27" s="1">
        <v>3968</v>
      </c>
      <c r="E27" s="1">
        <f t="shared" si="0"/>
        <v>128</v>
      </c>
      <c r="F27" s="2">
        <f t="shared" si="3"/>
        <v>0.92842741935483875</v>
      </c>
      <c r="G27" s="9">
        <v>0.93846153846153801</v>
      </c>
      <c r="H27" s="8">
        <v>3680</v>
      </c>
      <c r="I27" s="1">
        <v>3968</v>
      </c>
      <c r="J27" s="1">
        <f t="shared" si="4"/>
        <v>128</v>
      </c>
      <c r="K27" s="2">
        <f t="shared" si="10"/>
        <v>0.92741935483870963</v>
      </c>
      <c r="L27" s="9">
        <v>0.93846153846153801</v>
      </c>
      <c r="M27" s="8">
        <v>3581</v>
      </c>
      <c r="N27" s="1">
        <f>128*30</f>
        <v>3840</v>
      </c>
      <c r="O27" s="1">
        <f t="shared" si="5"/>
        <v>128</v>
      </c>
      <c r="P27" s="2">
        <f t="shared" si="14"/>
        <v>0.93255208333333328</v>
      </c>
      <c r="Q27" s="9">
        <v>0.93846153846153801</v>
      </c>
      <c r="R27" s="8">
        <v>3751</v>
      </c>
      <c r="S27" s="1">
        <v>3968</v>
      </c>
      <c r="T27" s="1">
        <f t="shared" si="6"/>
        <v>128</v>
      </c>
      <c r="U27" s="2">
        <v>0.9453125</v>
      </c>
      <c r="V27" s="9">
        <v>0.93846153846153801</v>
      </c>
      <c r="W27" s="8">
        <v>3660</v>
      </c>
      <c r="X27" s="1">
        <v>3874</v>
      </c>
      <c r="Y27" s="1">
        <f t="shared" si="7"/>
        <v>129.13333333333333</v>
      </c>
      <c r="Z27" s="2">
        <v>0.94475993804852898</v>
      </c>
      <c r="AA27" s="9">
        <v>0.93846153846153801</v>
      </c>
      <c r="AB27" s="8">
        <v>3822</v>
      </c>
      <c r="AC27" s="1">
        <v>4030</v>
      </c>
      <c r="AD27" s="2">
        <v>0.94838709677419397</v>
      </c>
      <c r="AE27" s="9">
        <v>0.93846153846153801</v>
      </c>
      <c r="AF27" s="8">
        <v>3607</v>
      </c>
      <c r="AG27" s="1">
        <v>3770</v>
      </c>
      <c r="AH27" s="2">
        <v>0.95676392572944302</v>
      </c>
      <c r="AI27" s="9">
        <v>0.93846153846153801</v>
      </c>
      <c r="AJ27" s="8">
        <v>3804</v>
      </c>
      <c r="AK27" s="1">
        <v>4030</v>
      </c>
      <c r="AL27" s="1">
        <f t="shared" si="8"/>
        <v>130</v>
      </c>
      <c r="AM27" s="2">
        <v>0.94392059553349905</v>
      </c>
      <c r="AN27" s="9">
        <v>0.93846153846153801</v>
      </c>
      <c r="AO27" s="8">
        <f t="shared" si="1"/>
        <v>29589</v>
      </c>
      <c r="AP27" s="8">
        <f t="shared" si="2"/>
        <v>31448</v>
      </c>
      <c r="AQ27" s="2">
        <f t="shared" si="9"/>
        <v>0.94088654286441109</v>
      </c>
      <c r="AR27" s="9">
        <v>0.93799999999999994</v>
      </c>
    </row>
    <row r="28" spans="1:44" x14ac:dyDescent="0.2">
      <c r="A28" s="105" t="s">
        <v>30</v>
      </c>
      <c r="B28" s="16" t="s">
        <v>22</v>
      </c>
      <c r="C28" s="10">
        <v>2858</v>
      </c>
      <c r="D28" s="11">
        <v>3689</v>
      </c>
      <c r="E28" s="11">
        <f t="shared" si="0"/>
        <v>119</v>
      </c>
      <c r="F28" s="12">
        <f t="shared" si="3"/>
        <v>0.77473570073190567</v>
      </c>
      <c r="G28" s="13">
        <v>0.77310924369747902</v>
      </c>
      <c r="H28" s="10">
        <v>2815</v>
      </c>
      <c r="I28" s="11">
        <v>3689</v>
      </c>
      <c r="J28" s="11">
        <f t="shared" si="4"/>
        <v>119</v>
      </c>
      <c r="K28" s="12">
        <f t="shared" si="10"/>
        <v>0.76307942531851447</v>
      </c>
      <c r="L28" s="13">
        <v>0.77310924369747902</v>
      </c>
      <c r="M28" s="10">
        <v>2737</v>
      </c>
      <c r="N28" s="11">
        <f>119*30</f>
        <v>3570</v>
      </c>
      <c r="O28" s="11">
        <f t="shared" si="5"/>
        <v>119</v>
      </c>
      <c r="P28" s="12">
        <f t="shared" si="14"/>
        <v>0.76666666666666672</v>
      </c>
      <c r="Q28" s="13">
        <v>0.77310924369747902</v>
      </c>
      <c r="R28" s="10">
        <v>2741</v>
      </c>
      <c r="S28" s="11">
        <v>3689</v>
      </c>
      <c r="T28" s="11">
        <f t="shared" si="6"/>
        <v>119</v>
      </c>
      <c r="U28" s="12">
        <v>0.74301978856058504</v>
      </c>
      <c r="V28" s="13">
        <v>0.77310924369747902</v>
      </c>
      <c r="W28" s="10">
        <v>2687</v>
      </c>
      <c r="X28" s="11">
        <v>3570</v>
      </c>
      <c r="Y28" s="11">
        <f t="shared" si="7"/>
        <v>119</v>
      </c>
      <c r="Z28" s="12">
        <v>0.75266106442576997</v>
      </c>
      <c r="AA28" s="13">
        <v>0.77310924369747902</v>
      </c>
      <c r="AB28" s="10">
        <v>2825</v>
      </c>
      <c r="AC28" s="11">
        <v>3689</v>
      </c>
      <c r="AD28" s="12">
        <v>0.76579018704255897</v>
      </c>
      <c r="AE28" s="13">
        <v>0.77310924369747902</v>
      </c>
      <c r="AF28" s="10">
        <v>2611</v>
      </c>
      <c r="AG28" s="11">
        <v>3451</v>
      </c>
      <c r="AH28" s="12">
        <v>0.75659229208924905</v>
      </c>
      <c r="AI28" s="13">
        <v>0.77310924369747902</v>
      </c>
      <c r="AJ28" s="10">
        <v>2722</v>
      </c>
      <c r="AK28" s="11">
        <v>3689</v>
      </c>
      <c r="AL28" s="11">
        <f t="shared" si="8"/>
        <v>119</v>
      </c>
      <c r="AM28" s="12">
        <v>0.737869341284901</v>
      </c>
      <c r="AN28" s="13">
        <v>0.77310924369747902</v>
      </c>
      <c r="AO28" s="10">
        <f t="shared" si="1"/>
        <v>21996</v>
      </c>
      <c r="AP28" s="10">
        <f t="shared" si="2"/>
        <v>29036</v>
      </c>
      <c r="AQ28" s="12">
        <f t="shared" si="9"/>
        <v>0.75754236120677776</v>
      </c>
      <c r="AR28" s="13">
        <v>0.77300000000000002</v>
      </c>
    </row>
    <row r="29" spans="1:44" x14ac:dyDescent="0.2">
      <c r="A29" s="103" t="s">
        <v>31</v>
      </c>
      <c r="B29" s="14" t="s">
        <v>18</v>
      </c>
      <c r="C29" s="8">
        <f>C30+C31+C32</f>
        <v>7550</v>
      </c>
      <c r="D29" s="1">
        <f>D30+D31+D32</f>
        <v>8401</v>
      </c>
      <c r="E29" s="1">
        <f t="shared" si="0"/>
        <v>271</v>
      </c>
      <c r="F29" s="2">
        <f t="shared" si="3"/>
        <v>0.89870253541245093</v>
      </c>
      <c r="G29" s="9">
        <v>0.94796296296296301</v>
      </c>
      <c r="H29" s="8">
        <f>H30+H31+H32</f>
        <v>7555</v>
      </c>
      <c r="I29" s="1">
        <f>I30+I31+I32</f>
        <v>8401</v>
      </c>
      <c r="J29" s="1">
        <f t="shared" si="4"/>
        <v>271</v>
      </c>
      <c r="K29" s="2">
        <f t="shared" si="10"/>
        <v>0.89929770265444586</v>
      </c>
      <c r="L29" s="9">
        <v>0.94796296296296301</v>
      </c>
      <c r="M29" s="8">
        <f>M30+M31+M32</f>
        <v>7363</v>
      </c>
      <c r="N29" s="1">
        <f>N30+N31+N32</f>
        <v>8130</v>
      </c>
      <c r="O29" s="1">
        <f t="shared" si="5"/>
        <v>271</v>
      </c>
      <c r="P29" s="2">
        <f t="shared" si="14"/>
        <v>0.90565805658056575</v>
      </c>
      <c r="Q29" s="9">
        <v>0.94796296296296301</v>
      </c>
      <c r="R29" s="8">
        <v>7642</v>
      </c>
      <c r="S29" s="1">
        <v>8401</v>
      </c>
      <c r="T29" s="1">
        <f t="shared" si="6"/>
        <v>271</v>
      </c>
      <c r="U29" s="2">
        <v>0.90965361266515898</v>
      </c>
      <c r="V29" s="9">
        <v>0.94425925925925902</v>
      </c>
      <c r="W29" s="8">
        <v>7378</v>
      </c>
      <c r="X29" s="1">
        <v>8130</v>
      </c>
      <c r="Y29" s="1">
        <f t="shared" si="7"/>
        <v>271</v>
      </c>
      <c r="Z29" s="2">
        <v>0.90750307503075001</v>
      </c>
      <c r="AA29" s="9">
        <v>0.94425925925925902</v>
      </c>
      <c r="AB29" s="8">
        <v>7754</v>
      </c>
      <c r="AC29" s="1">
        <v>8401</v>
      </c>
      <c r="AD29" s="2">
        <v>0.92298535888584698</v>
      </c>
      <c r="AE29" s="9">
        <v>0.94425925925925902</v>
      </c>
      <c r="AF29" s="8">
        <v>7353</v>
      </c>
      <c r="AG29" s="1">
        <v>7891</v>
      </c>
      <c r="AH29" s="2">
        <v>0.93182106196933201</v>
      </c>
      <c r="AI29" s="9">
        <v>0.94425925925925902</v>
      </c>
      <c r="AJ29" s="8">
        <v>7791</v>
      </c>
      <c r="AK29" s="1">
        <v>8494</v>
      </c>
      <c r="AL29" s="1">
        <f t="shared" si="8"/>
        <v>274</v>
      </c>
      <c r="AM29" s="2">
        <v>0.91723569578525999</v>
      </c>
      <c r="AN29" s="9">
        <v>0.94055555555555603</v>
      </c>
      <c r="AO29" s="8">
        <f t="shared" si="1"/>
        <v>60386</v>
      </c>
      <c r="AP29" s="8">
        <f t="shared" si="2"/>
        <v>66249</v>
      </c>
      <c r="AQ29" s="2">
        <f t="shared" si="9"/>
        <v>0.91150055095171245</v>
      </c>
      <c r="AR29" s="9">
        <v>0.94399999999999995</v>
      </c>
    </row>
    <row r="30" spans="1:44" x14ac:dyDescent="0.2">
      <c r="A30" s="104" t="s">
        <v>31</v>
      </c>
      <c r="B30" s="15" t="s">
        <v>20</v>
      </c>
      <c r="C30" s="8">
        <v>1002</v>
      </c>
      <c r="D30" s="1">
        <v>1085</v>
      </c>
      <c r="E30" s="1">
        <f t="shared" si="0"/>
        <v>35</v>
      </c>
      <c r="F30" s="2">
        <f t="shared" si="3"/>
        <v>0.92350230414746548</v>
      </c>
      <c r="G30" s="9">
        <v>0.96428571428571397</v>
      </c>
      <c r="H30" s="8">
        <v>1004</v>
      </c>
      <c r="I30" s="1">
        <v>1085</v>
      </c>
      <c r="J30" s="1">
        <f t="shared" si="4"/>
        <v>35</v>
      </c>
      <c r="K30" s="2">
        <f t="shared" si="10"/>
        <v>0.92534562211981564</v>
      </c>
      <c r="L30" s="9">
        <v>0.96428571428571397</v>
      </c>
      <c r="M30" s="8">
        <v>946</v>
      </c>
      <c r="N30" s="1">
        <v>1050</v>
      </c>
      <c r="O30" s="1">
        <f t="shared" si="5"/>
        <v>35</v>
      </c>
      <c r="P30" s="2">
        <f t="shared" si="14"/>
        <v>0.90095238095238095</v>
      </c>
      <c r="Q30" s="9">
        <v>0.96428571428571397</v>
      </c>
      <c r="R30" s="8">
        <v>956</v>
      </c>
      <c r="S30" s="1">
        <v>1085</v>
      </c>
      <c r="T30" s="1">
        <f t="shared" si="6"/>
        <v>35</v>
      </c>
      <c r="U30" s="2">
        <v>0.88110599078341001</v>
      </c>
      <c r="V30" s="9">
        <v>0.96428571428571397</v>
      </c>
      <c r="W30" s="8">
        <v>900</v>
      </c>
      <c r="X30" s="1">
        <v>1050</v>
      </c>
      <c r="Y30" s="1">
        <f t="shared" si="7"/>
        <v>35</v>
      </c>
      <c r="Z30" s="2">
        <v>0.85714285714285698</v>
      </c>
      <c r="AA30" s="9">
        <v>0.96428571428571397</v>
      </c>
      <c r="AB30" s="8">
        <v>1028</v>
      </c>
      <c r="AC30" s="1">
        <v>1085</v>
      </c>
      <c r="AD30" s="2">
        <v>0.94746543778801795</v>
      </c>
      <c r="AE30" s="9">
        <v>0.96428571428571397</v>
      </c>
      <c r="AF30" s="8">
        <v>979</v>
      </c>
      <c r="AG30" s="1">
        <v>1015</v>
      </c>
      <c r="AH30" s="2">
        <v>0.96453201970443303</v>
      </c>
      <c r="AI30" s="9">
        <v>0.96428571428571397</v>
      </c>
      <c r="AJ30" s="8">
        <v>1056</v>
      </c>
      <c r="AK30" s="1">
        <v>1085</v>
      </c>
      <c r="AL30" s="1">
        <f t="shared" si="8"/>
        <v>35</v>
      </c>
      <c r="AM30" s="2">
        <v>0.97327188940092202</v>
      </c>
      <c r="AN30" s="9">
        <v>0.96428571428571397</v>
      </c>
      <c r="AO30" s="8">
        <f t="shared" si="1"/>
        <v>7871</v>
      </c>
      <c r="AP30" s="8">
        <f t="shared" si="2"/>
        <v>8540</v>
      </c>
      <c r="AQ30" s="2">
        <f t="shared" si="9"/>
        <v>0.92166276346604215</v>
      </c>
      <c r="AR30" s="9">
        <v>0.96399999999999997</v>
      </c>
    </row>
    <row r="31" spans="1:44" x14ac:dyDescent="0.2">
      <c r="A31" s="104" t="s">
        <v>31</v>
      </c>
      <c r="B31" s="15" t="s">
        <v>21</v>
      </c>
      <c r="C31" s="8">
        <f>5341-925</f>
        <v>4416</v>
      </c>
      <c r="D31" s="1">
        <v>4929</v>
      </c>
      <c r="E31" s="1">
        <f t="shared" si="0"/>
        <v>159</v>
      </c>
      <c r="F31" s="2">
        <f t="shared" si="3"/>
        <v>0.89592209373097986</v>
      </c>
      <c r="G31" s="9">
        <v>0.94339622641509402</v>
      </c>
      <c r="H31" s="8">
        <f>3415+960</f>
        <v>4375</v>
      </c>
      <c r="I31" s="1">
        <v>4929</v>
      </c>
      <c r="J31" s="1">
        <f t="shared" si="4"/>
        <v>159</v>
      </c>
      <c r="K31" s="2">
        <f t="shared" si="10"/>
        <v>0.88760397646581457</v>
      </c>
      <c r="L31" s="9">
        <v>0.94339622641509402</v>
      </c>
      <c r="M31" s="8">
        <v>4265</v>
      </c>
      <c r="N31" s="1">
        <v>4770</v>
      </c>
      <c r="O31" s="1">
        <f t="shared" si="5"/>
        <v>159</v>
      </c>
      <c r="P31" s="2">
        <f t="shared" si="14"/>
        <v>0.8941299790356394</v>
      </c>
      <c r="Q31" s="9">
        <v>0.94339622641509402</v>
      </c>
      <c r="R31" s="8">
        <v>4471</v>
      </c>
      <c r="S31" s="1">
        <v>4929</v>
      </c>
      <c r="T31" s="1">
        <f t="shared" si="6"/>
        <v>159</v>
      </c>
      <c r="U31" s="2">
        <v>0.90708054372083602</v>
      </c>
      <c r="V31" s="9">
        <v>0.93710691823899395</v>
      </c>
      <c r="W31" s="8">
        <v>4298</v>
      </c>
      <c r="X31" s="1">
        <v>4770</v>
      </c>
      <c r="Y31" s="1">
        <f t="shared" si="7"/>
        <v>159</v>
      </c>
      <c r="Z31" s="2">
        <v>0.90104821802934998</v>
      </c>
      <c r="AA31" s="9">
        <v>0.93710691823899395</v>
      </c>
      <c r="AB31" s="8">
        <v>4499</v>
      </c>
      <c r="AC31" s="1">
        <v>4929</v>
      </c>
      <c r="AD31" s="2">
        <v>0.91276120917021697</v>
      </c>
      <c r="AE31" s="9">
        <v>0.93710691823899395</v>
      </c>
      <c r="AF31" s="8">
        <v>4253</v>
      </c>
      <c r="AG31" s="1">
        <v>4611</v>
      </c>
      <c r="AH31" s="2">
        <v>0.92235957492951604</v>
      </c>
      <c r="AI31" s="9">
        <v>0.93710691823899395</v>
      </c>
      <c r="AJ31" s="8">
        <v>4523</v>
      </c>
      <c r="AK31" s="1">
        <v>4929</v>
      </c>
      <c r="AL31" s="1">
        <f t="shared" si="8"/>
        <v>159</v>
      </c>
      <c r="AM31" s="2">
        <v>0.91763035098397205</v>
      </c>
      <c r="AN31" s="9">
        <v>0.93081761006289299</v>
      </c>
      <c r="AO31" s="8">
        <f t="shared" si="1"/>
        <v>35100</v>
      </c>
      <c r="AP31" s="8">
        <f t="shared" si="2"/>
        <v>38796</v>
      </c>
      <c r="AQ31" s="2">
        <f t="shared" si="9"/>
        <v>0.90473244664398389</v>
      </c>
      <c r="AR31" s="9">
        <v>0.93700000000000006</v>
      </c>
    </row>
    <row r="32" spans="1:44" x14ac:dyDescent="0.2">
      <c r="A32" s="105" t="s">
        <v>31</v>
      </c>
      <c r="B32" s="16" t="s">
        <v>22</v>
      </c>
      <c r="C32" s="10">
        <v>2132</v>
      </c>
      <c r="D32" s="11">
        <v>2387</v>
      </c>
      <c r="E32" s="11">
        <f t="shared" si="0"/>
        <v>77</v>
      </c>
      <c r="F32" s="12">
        <f t="shared" si="3"/>
        <v>0.89317134478424798</v>
      </c>
      <c r="G32" s="13">
        <v>0.95</v>
      </c>
      <c r="H32" s="10">
        <v>2176</v>
      </c>
      <c r="I32" s="11">
        <v>2387</v>
      </c>
      <c r="J32" s="11">
        <f t="shared" si="4"/>
        <v>77</v>
      </c>
      <c r="K32" s="12">
        <f t="shared" si="10"/>
        <v>0.91160452450775031</v>
      </c>
      <c r="L32" s="13">
        <v>0.95</v>
      </c>
      <c r="M32" s="10">
        <v>2152</v>
      </c>
      <c r="N32" s="11">
        <v>2310</v>
      </c>
      <c r="O32" s="11">
        <f t="shared" si="5"/>
        <v>77</v>
      </c>
      <c r="P32" s="12">
        <f t="shared" si="14"/>
        <v>0.93160173160173165</v>
      </c>
      <c r="Q32" s="13">
        <v>0.95</v>
      </c>
      <c r="R32" s="10">
        <v>2215</v>
      </c>
      <c r="S32" s="11">
        <v>2387</v>
      </c>
      <c r="T32" s="11">
        <f t="shared" si="6"/>
        <v>77</v>
      </c>
      <c r="U32" s="12">
        <v>0.92794302471721801</v>
      </c>
      <c r="V32" s="13">
        <v>0.95</v>
      </c>
      <c r="W32" s="10">
        <v>2180</v>
      </c>
      <c r="X32" s="11">
        <v>2310</v>
      </c>
      <c r="Y32" s="11">
        <f t="shared" si="7"/>
        <v>77</v>
      </c>
      <c r="Z32" s="12">
        <v>0.94372294372294396</v>
      </c>
      <c r="AA32" s="13">
        <v>0.95</v>
      </c>
      <c r="AB32" s="10">
        <v>2227</v>
      </c>
      <c r="AC32" s="11">
        <v>2387</v>
      </c>
      <c r="AD32" s="12">
        <v>0.93297025555090096</v>
      </c>
      <c r="AE32" s="13">
        <v>0.95</v>
      </c>
      <c r="AF32" s="10">
        <v>2121</v>
      </c>
      <c r="AG32" s="11">
        <v>2265</v>
      </c>
      <c r="AH32" s="12">
        <v>0.93642384105960297</v>
      </c>
      <c r="AI32" s="13">
        <v>0.95</v>
      </c>
      <c r="AJ32" s="10">
        <v>2212</v>
      </c>
      <c r="AK32" s="11">
        <v>2480</v>
      </c>
      <c r="AL32" s="11">
        <f t="shared" si="8"/>
        <v>80</v>
      </c>
      <c r="AM32" s="12">
        <v>0.89193548387096799</v>
      </c>
      <c r="AN32" s="13">
        <v>0.95</v>
      </c>
      <c r="AO32" s="10">
        <f t="shared" si="1"/>
        <v>17415</v>
      </c>
      <c r="AP32" s="10">
        <f t="shared" si="2"/>
        <v>18913</v>
      </c>
      <c r="AQ32" s="12">
        <f t="shared" si="9"/>
        <v>0.92079522021889704</v>
      </c>
      <c r="AR32" s="13">
        <v>0.95</v>
      </c>
    </row>
    <row r="33" spans="1:43" x14ac:dyDescent="0.2">
      <c r="A33" s="5"/>
    </row>
    <row r="35" spans="1:43" x14ac:dyDescent="0.2">
      <c r="A35" t="s">
        <v>33</v>
      </c>
      <c r="C35" s="1">
        <f>C6+C10+C14+C21+C25+C29</f>
        <v>78943</v>
      </c>
      <c r="D35" s="1">
        <f>D6+D10+D14+D21+D25+D29</f>
        <v>89094</v>
      </c>
      <c r="F35" s="18">
        <f>C35/D35</f>
        <v>0.88606415695781982</v>
      </c>
      <c r="H35" s="1">
        <f>H6+H10+H14+H21+H25+H29</f>
        <v>78923</v>
      </c>
      <c r="I35" s="1">
        <f>I6+I10+I14+I21+I25+I29</f>
        <v>89094</v>
      </c>
      <c r="K35" s="18">
        <f>H35/I35</f>
        <v>0.88583967495005278</v>
      </c>
      <c r="M35" s="1">
        <f>M6+M10+M14+M21+M25+M29</f>
        <v>76257</v>
      </c>
      <c r="N35" s="1">
        <f>N6+N10+N14+N21+N25+N29</f>
        <v>86220</v>
      </c>
      <c r="P35" s="18">
        <f>M35/N35</f>
        <v>0.88444676409185807</v>
      </c>
      <c r="R35" s="1">
        <f>R6+R10+R14+R21+R25+R29</f>
        <v>78659</v>
      </c>
      <c r="S35" s="1">
        <f>S6+S10+S14+S21+S25+S29</f>
        <v>89094</v>
      </c>
      <c r="U35" s="18">
        <f>R35/S35</f>
        <v>0.8828765124475273</v>
      </c>
      <c r="W35" s="1">
        <f>W6+W10+W14+W21+W25+W29</f>
        <v>76732</v>
      </c>
      <c r="X35" s="1">
        <f>X6+X10+X14+X21+X25+X29</f>
        <v>86254</v>
      </c>
      <c r="Z35" s="18">
        <f>W35/X35</f>
        <v>0.88960511976256174</v>
      </c>
      <c r="AB35" s="1">
        <f>AB6+AB10+AB14+AB21+AB25+AB29</f>
        <v>79447</v>
      </c>
      <c r="AC35" s="1">
        <f>AC6+AC10+AC14+AC21+AC25+AC29</f>
        <v>89156</v>
      </c>
      <c r="AD35" s="18">
        <f>AB35/AC35</f>
        <v>0.89110099152048095</v>
      </c>
      <c r="AF35" s="1">
        <f>AF6+AF10+AF14+AF21+AF25+AF29</f>
        <v>74788</v>
      </c>
      <c r="AG35" s="1">
        <f>AG6+AG10+AG14+AG21+AG25+AG29</f>
        <v>83436</v>
      </c>
      <c r="AH35" s="18">
        <f>AF35/AG35</f>
        <v>0.89635169471211462</v>
      </c>
      <c r="AJ35" s="1">
        <f>AJ6+AJ10+AJ14+AJ21+AJ25+AJ29</f>
        <v>79478</v>
      </c>
      <c r="AK35" s="1">
        <f>AK6+AK10+AK14+AK21+AK25+AK29</f>
        <v>89249</v>
      </c>
      <c r="AM35" s="18">
        <f>AJ35/AK35</f>
        <v>0.89051978173424917</v>
      </c>
      <c r="AO35" s="1">
        <f>AO6+AO10+AO14+AO21+AO25+AO29</f>
        <v>623227</v>
      </c>
      <c r="AP35" s="1">
        <f>AP6+AP10+AP14+AP21+AP25+AP29</f>
        <v>701597</v>
      </c>
      <c r="AQ35" s="18">
        <f>AO35/AP35</f>
        <v>0.88829769796621139</v>
      </c>
    </row>
    <row r="36" spans="1:43" x14ac:dyDescent="0.2">
      <c r="A36"/>
    </row>
    <row r="37" spans="1:43" x14ac:dyDescent="0.2">
      <c r="A37" t="s">
        <v>34</v>
      </c>
      <c r="C37" s="1">
        <f>C6+C10+C14+C18+C21+C25+C29</f>
        <v>82151</v>
      </c>
      <c r="D37" s="1">
        <f>D6+D10+D14+D18+D21+D25+D29</f>
        <v>92380</v>
      </c>
      <c r="F37" s="18">
        <f>C37/D37</f>
        <v>0.88927256982030745</v>
      </c>
      <c r="H37" s="1">
        <f>H6+H10+H14+H18+H21+H25+H29</f>
        <v>82156</v>
      </c>
      <c r="I37" s="1">
        <f>I6+I10+I14+I18+I21+I25+I29</f>
        <v>92380</v>
      </c>
      <c r="K37" s="18">
        <f>H37/I37</f>
        <v>0.88932669408962983</v>
      </c>
      <c r="M37" s="1">
        <f>M6+M10+M14+M18+M21+M25+M29</f>
        <v>79335</v>
      </c>
      <c r="N37" s="1">
        <f>N6+N10+N14+N18+N21+N25+N29</f>
        <v>89400</v>
      </c>
      <c r="P37" s="18">
        <f>M37/N37</f>
        <v>0.88741610738255039</v>
      </c>
      <c r="R37" s="1">
        <f>R6+R10+R14+R18+R21+R25+R29</f>
        <v>81879</v>
      </c>
      <c r="S37" s="1">
        <f>S6+S10+S14+S18+S21+S25+S29</f>
        <v>92380</v>
      </c>
      <c r="U37" s="18">
        <f>R37/S37</f>
        <v>0.8863282095691708</v>
      </c>
      <c r="W37" s="1">
        <f>W6+W10+W14+W18+W21+W25+W29</f>
        <v>79878</v>
      </c>
      <c r="X37" s="1">
        <f>X6+X10+X14+X18+X21+X25+X29</f>
        <v>89434</v>
      </c>
      <c r="Z37" s="18">
        <f>W37/X37</f>
        <v>0.8931502560547443</v>
      </c>
      <c r="AB37" s="1">
        <f>AB6+AB10+AB14+AB18+AB21+AB25+AB29</f>
        <v>82656</v>
      </c>
      <c r="AC37" s="1">
        <f>AC6+AC10+AC14+AC18+AC21+AC25+AC29</f>
        <v>92442</v>
      </c>
      <c r="AD37" s="18">
        <f>AB37/AC37</f>
        <v>0.89413902771467513</v>
      </c>
      <c r="AF37" s="1">
        <f>AF6+AF10+AF14+AF18+AF21+AF25+AF29</f>
        <v>77742</v>
      </c>
      <c r="AG37" s="1">
        <f>AG6+AG10+AG14+AG18+AG21+AG25+AG29</f>
        <v>86510</v>
      </c>
      <c r="AH37" s="18">
        <f>AF37/AG37</f>
        <v>0.89864755519593109</v>
      </c>
      <c r="AJ37" s="1">
        <f>AJ6+AJ10+AJ14+AJ18+AJ21+AJ25+AJ29</f>
        <v>82575</v>
      </c>
      <c r="AK37" s="1">
        <f>AK6+AK10+AK14+AK18+AK21+AK25+AK29</f>
        <v>92535</v>
      </c>
      <c r="AM37" s="18">
        <f>AJ37/AK37</f>
        <v>0.89236505106176045</v>
      </c>
      <c r="AO37" s="1">
        <f>AO6+AO10+AO14+AO18+AO21+AO25+AO29</f>
        <v>648372</v>
      </c>
      <c r="AP37" s="1">
        <f>AP6+AP10+AP14+AP18+AP21+AP25+AP29</f>
        <v>727461</v>
      </c>
      <c r="AQ37" s="18">
        <f>AO37/AP37</f>
        <v>0.89128076969074632</v>
      </c>
    </row>
    <row r="38" spans="1:43" x14ac:dyDescent="0.2">
      <c r="A38"/>
    </row>
    <row r="39" spans="1:43" x14ac:dyDescent="0.2">
      <c r="A39" t="s">
        <v>35</v>
      </c>
      <c r="C39" s="1">
        <f>C19+C20</f>
        <v>3870</v>
      </c>
      <c r="D39" s="1">
        <f>D19+D20</f>
        <v>4557</v>
      </c>
      <c r="F39" s="18">
        <f>C39/D39</f>
        <v>0.84924292297564186</v>
      </c>
      <c r="H39" s="1">
        <f>H19+H20</f>
        <v>3822</v>
      </c>
      <c r="I39" s="1">
        <f>I19+I20</f>
        <v>4557</v>
      </c>
      <c r="K39" s="18">
        <f>H39/I39</f>
        <v>0.83870967741935487</v>
      </c>
      <c r="M39" s="1">
        <f>M19+M20</f>
        <v>3699</v>
      </c>
      <c r="N39" s="1">
        <f>N19+N20</f>
        <v>4410</v>
      </c>
      <c r="P39" s="18">
        <f>M39/N39</f>
        <v>0.83877551020408159</v>
      </c>
      <c r="R39" s="1">
        <f>R19+R20</f>
        <v>3855</v>
      </c>
      <c r="S39" s="1">
        <f>S19+S20</f>
        <v>4557</v>
      </c>
      <c r="U39" s="18">
        <f>R39/S39</f>
        <v>0.84595128373930217</v>
      </c>
      <c r="W39" s="1">
        <f>W19+W20</f>
        <v>3786</v>
      </c>
      <c r="X39" s="1">
        <f>X19+X20</f>
        <v>4410</v>
      </c>
      <c r="Z39" s="18">
        <f>W39/X39</f>
        <v>0.85850340136054426</v>
      </c>
      <c r="AB39" s="1">
        <f>AB19+AB20</f>
        <v>3959</v>
      </c>
      <c r="AC39" s="1">
        <f>AC19+AC20</f>
        <v>4557</v>
      </c>
      <c r="AD39" s="18">
        <f>AB39/AC39</f>
        <v>0.86877331577792405</v>
      </c>
      <c r="AF39" s="1">
        <f>AF19+AF20</f>
        <v>3708</v>
      </c>
      <c r="AG39" s="1">
        <f>AG19+AG20</f>
        <v>4263</v>
      </c>
      <c r="AH39" s="18">
        <f>AF39/AG39</f>
        <v>0.86980999296270234</v>
      </c>
      <c r="AJ39" s="1">
        <f>AJ19+AJ20</f>
        <v>3841</v>
      </c>
      <c r="AK39" s="1">
        <f>AK19+AK20</f>
        <v>4557</v>
      </c>
      <c r="AM39" s="18">
        <f>AJ39/AK39</f>
        <v>0.84287908711871851</v>
      </c>
      <c r="AO39" s="1">
        <f>AO19+AO20</f>
        <v>30540</v>
      </c>
      <c r="AP39" s="1">
        <f>AP19+AP20</f>
        <v>35868</v>
      </c>
      <c r="AQ39" s="18">
        <f>AO39/AP39</f>
        <v>0.85145533623285374</v>
      </c>
    </row>
    <row r="40" spans="1:43" x14ac:dyDescent="0.2">
      <c r="A40"/>
    </row>
    <row r="41" spans="1:43" x14ac:dyDescent="0.2">
      <c r="A41" t="s">
        <v>36</v>
      </c>
      <c r="C41" s="1">
        <f>C37+C39</f>
        <v>86021</v>
      </c>
      <c r="D41" s="1">
        <f>D37+D39</f>
        <v>96937</v>
      </c>
      <c r="F41" s="18">
        <f>C41/D41</f>
        <v>0.88739077957848911</v>
      </c>
      <c r="H41" s="1">
        <f>H37+H39</f>
        <v>85978</v>
      </c>
      <c r="I41" s="1">
        <f>I37+I39</f>
        <v>96937</v>
      </c>
      <c r="K41" s="18">
        <f>H41/I41</f>
        <v>0.88694719250647325</v>
      </c>
      <c r="M41" s="1">
        <f>M37+M39</f>
        <v>83034</v>
      </c>
      <c r="N41" s="1">
        <f>N37+N39</f>
        <v>93810</v>
      </c>
      <c r="P41" s="18">
        <f>M41/N41</f>
        <v>0.88512951710905019</v>
      </c>
      <c r="R41" s="1">
        <f>R37+R39</f>
        <v>85734</v>
      </c>
      <c r="S41" s="1">
        <f>S37+S39</f>
        <v>96937</v>
      </c>
      <c r="U41" s="18">
        <f>R41/S41</f>
        <v>0.8844300937722438</v>
      </c>
      <c r="W41" s="1">
        <f>W37+W39</f>
        <v>83664</v>
      </c>
      <c r="X41" s="1">
        <f>X37+X39</f>
        <v>93844</v>
      </c>
      <c r="Z41" s="18">
        <f>W41/X41</f>
        <v>0.8915221005072248</v>
      </c>
      <c r="AB41" s="1">
        <f>AB37+AB39</f>
        <v>86615</v>
      </c>
      <c r="AC41" s="1">
        <f>AC37+AC39</f>
        <v>96999</v>
      </c>
      <c r="AD41" s="18">
        <f>AB41/AC41</f>
        <v>0.8929473499726801</v>
      </c>
      <c r="AF41" s="1">
        <f>AF37+AF39</f>
        <v>81450</v>
      </c>
      <c r="AG41" s="1">
        <f>AG37+AG39</f>
        <v>90773</v>
      </c>
      <c r="AH41" s="18">
        <f>AF41/AG41</f>
        <v>0.89729324799224441</v>
      </c>
      <c r="AJ41" s="1">
        <f>AJ37+AJ39</f>
        <v>86416</v>
      </c>
      <c r="AK41" s="1">
        <f>AK37+AK39</f>
        <v>97092</v>
      </c>
      <c r="AM41" s="18">
        <f>AJ41/AK41</f>
        <v>0.8900424339801426</v>
      </c>
      <c r="AO41" s="1">
        <f>AO37+AO39</f>
        <v>678912</v>
      </c>
      <c r="AP41" s="1">
        <f>AP37+AP39</f>
        <v>763329</v>
      </c>
      <c r="AQ41" s="18">
        <f>AO41/AP41</f>
        <v>0.88940941586131272</v>
      </c>
    </row>
    <row r="42" spans="1:43" x14ac:dyDescent="0.2">
      <c r="A42"/>
    </row>
    <row r="43" spans="1:43" x14ac:dyDescent="0.2">
      <c r="A43" t="s">
        <v>37</v>
      </c>
      <c r="C43" s="1">
        <f>C5-C41</f>
        <v>0</v>
      </c>
      <c r="D43" s="1">
        <f>D5-D41</f>
        <v>0</v>
      </c>
      <c r="F43" s="1">
        <f>F5-F41</f>
        <v>0</v>
      </c>
      <c r="H43" s="1">
        <f>H5-H41</f>
        <v>0</v>
      </c>
      <c r="I43" s="1">
        <f>I5-I41</f>
        <v>0</v>
      </c>
      <c r="K43" s="1">
        <f>K5-K41</f>
        <v>0</v>
      </c>
      <c r="M43" s="1">
        <f>M5-M41</f>
        <v>0</v>
      </c>
      <c r="N43" s="1">
        <f>N5-N41</f>
        <v>0</v>
      </c>
      <c r="P43" s="1">
        <f>P5-P41</f>
        <v>0</v>
      </c>
      <c r="R43" s="1">
        <f>R5-R41</f>
        <v>0</v>
      </c>
      <c r="S43" s="1">
        <f>S5-S41</f>
        <v>0</v>
      </c>
      <c r="U43" s="1">
        <f>U5-U41</f>
        <v>0</v>
      </c>
      <c r="W43" s="1">
        <f>W5-W41</f>
        <v>0</v>
      </c>
      <c r="X43" s="1">
        <f>X5-X41</f>
        <v>0</v>
      </c>
      <c r="Z43" s="1">
        <f>Z5-Z41</f>
        <v>0</v>
      </c>
      <c r="AB43" s="1">
        <f>AB5-AB41</f>
        <v>0</v>
      </c>
      <c r="AC43" s="1">
        <f>AC5-AC41</f>
        <v>0</v>
      </c>
      <c r="AD43" s="1">
        <f>AE5-AD41</f>
        <v>8.0884556539179142E-3</v>
      </c>
      <c r="AF43" s="1">
        <f>AF5-AF41</f>
        <v>0</v>
      </c>
      <c r="AG43" s="1">
        <f>AG5-AG41</f>
        <v>0</v>
      </c>
      <c r="AH43" s="1">
        <f>AI5-AH41</f>
        <v>2.943324897780597E-3</v>
      </c>
      <c r="AJ43" s="1">
        <f>AJ5-AJ41</f>
        <v>0</v>
      </c>
      <c r="AK43" s="1">
        <f>AK5-AK41</f>
        <v>0</v>
      </c>
      <c r="AM43" s="1">
        <f>AM5-AM41</f>
        <v>0</v>
      </c>
      <c r="AO43" s="1">
        <f>AO5-AO41</f>
        <v>0</v>
      </c>
      <c r="AP43" s="1">
        <f>AP5-AP41</f>
        <v>0</v>
      </c>
      <c r="AQ43" s="1">
        <f>AR5-AQ41</f>
        <v>1.1590584138687299E-2</v>
      </c>
    </row>
  </sheetData>
  <mergeCells count="18">
    <mergeCell ref="M1:AN1"/>
    <mergeCell ref="M2:AA2"/>
    <mergeCell ref="AB2:AN2"/>
    <mergeCell ref="M3:Q3"/>
    <mergeCell ref="R3:V3"/>
    <mergeCell ref="W3:AA3"/>
    <mergeCell ref="AB3:AE3"/>
    <mergeCell ref="AF3:AI3"/>
    <mergeCell ref="AJ3:AN3"/>
    <mergeCell ref="A29:A32"/>
    <mergeCell ref="AO3:AR3"/>
    <mergeCell ref="A6:A9"/>
    <mergeCell ref="A10:A13"/>
    <mergeCell ref="A14:A17"/>
    <mergeCell ref="A21:A24"/>
    <mergeCell ref="A25:A28"/>
    <mergeCell ref="H3:L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9A54-DF76-412F-883A-6D9194BD3D25}">
  <dimension ref="A1:S39"/>
  <sheetViews>
    <sheetView workbookViewId="0">
      <selection activeCell="C34" sqref="C34:C39"/>
    </sheetView>
  </sheetViews>
  <sheetFormatPr defaultRowHeight="12.75" x14ac:dyDescent="0.2"/>
  <cols>
    <col min="2" max="2" width="22.140625" bestFit="1" customWidth="1"/>
    <col min="3" max="3" width="13.28515625" bestFit="1" customWidth="1"/>
    <col min="4" max="4" width="14" bestFit="1" customWidth="1"/>
    <col min="5" max="5" width="12.7109375" bestFit="1" customWidth="1"/>
    <col min="6" max="6" width="19.42578125" bestFit="1" customWidth="1"/>
    <col min="8" max="8" width="12.5703125" bestFit="1" customWidth="1"/>
    <col min="14" max="14" width="10.42578125" bestFit="1" customWidth="1"/>
    <col min="18" max="18" width="22.140625" bestFit="1" customWidth="1"/>
  </cols>
  <sheetData>
    <row r="1" spans="1:19" x14ac:dyDescent="0.2">
      <c r="A1" s="115" t="s">
        <v>38</v>
      </c>
      <c r="B1" t="s">
        <v>1</v>
      </c>
      <c r="C1" s="113">
        <v>2024</v>
      </c>
      <c r="D1" s="113">
        <v>2024</v>
      </c>
      <c r="E1" s="113">
        <v>2024</v>
      </c>
      <c r="F1" s="113">
        <v>2024</v>
      </c>
    </row>
    <row r="2" spans="1:19" x14ac:dyDescent="0.2">
      <c r="A2" s="115"/>
      <c r="B2" t="s">
        <v>2</v>
      </c>
      <c r="C2" s="114" t="s">
        <v>39</v>
      </c>
      <c r="D2" s="114" t="s">
        <v>0</v>
      </c>
      <c r="E2" s="114" t="s">
        <v>0</v>
      </c>
      <c r="F2" s="114" t="s">
        <v>0</v>
      </c>
    </row>
    <row r="3" spans="1:19" x14ac:dyDescent="0.2">
      <c r="A3" s="115"/>
      <c r="B3" t="s">
        <v>12</v>
      </c>
      <c r="C3" t="s">
        <v>14</v>
      </c>
      <c r="D3" t="s">
        <v>15</v>
      </c>
      <c r="E3" t="s">
        <v>16</v>
      </c>
      <c r="F3" t="s">
        <v>17</v>
      </c>
      <c r="I3" s="19" t="s">
        <v>40</v>
      </c>
      <c r="J3" s="19" t="s">
        <v>41</v>
      </c>
      <c r="K3" s="19" t="s">
        <v>42</v>
      </c>
      <c r="N3" s="111" t="s">
        <v>37</v>
      </c>
      <c r="O3" s="111"/>
      <c r="P3" s="111"/>
      <c r="Q3" s="111"/>
    </row>
    <row r="4" spans="1:19" x14ac:dyDescent="0.2">
      <c r="A4" s="115"/>
      <c r="B4" t="s">
        <v>18</v>
      </c>
      <c r="C4" s="1">
        <f>SUM(C5:C12)</f>
        <v>439114</v>
      </c>
      <c r="D4" s="1">
        <f>SUM(D5:D12)</f>
        <v>497244</v>
      </c>
      <c r="E4" s="2">
        <f>C4/D4</f>
        <v>0.88309562307438605</v>
      </c>
      <c r="F4" s="2">
        <v>0.89500000000000002</v>
      </c>
      <c r="H4" t="s">
        <v>33</v>
      </c>
      <c r="I4" s="1">
        <f>C5+C6+C7+C8+C10+C11+C12</f>
        <v>436013</v>
      </c>
      <c r="J4" s="1">
        <f>D5+D6+D7+D8+D10+D11+D12</f>
        <v>494072</v>
      </c>
      <c r="K4" s="18">
        <f>I4/J4</f>
        <v>0.88248878705937595</v>
      </c>
      <c r="N4" t="s">
        <v>43</v>
      </c>
      <c r="O4" s="1">
        <f>C4+C18+C33</f>
        <v>678912</v>
      </c>
      <c r="P4" s="1">
        <f>D4+D18+D33</f>
        <v>763329</v>
      </c>
      <c r="Q4" s="18">
        <f>O4/P4</f>
        <v>0.88940941586131272</v>
      </c>
    </row>
    <row r="5" spans="1:19" x14ac:dyDescent="0.2">
      <c r="A5" s="115"/>
      <c r="B5" t="s">
        <v>19</v>
      </c>
      <c r="C5" s="1">
        <f>Occupancy!AO8</f>
        <v>157952</v>
      </c>
      <c r="D5" s="1">
        <f>Occupancy!AP8</f>
        <v>201300</v>
      </c>
      <c r="E5" s="2">
        <f t="shared" ref="E5:E12" si="0">C5/D5</f>
        <v>0.78465971187282668</v>
      </c>
      <c r="F5" s="2">
        <v>0.81899999999999995</v>
      </c>
      <c r="N5" t="s">
        <v>44</v>
      </c>
      <c r="O5" s="1">
        <f>Occupancy!AO5</f>
        <v>678912</v>
      </c>
      <c r="P5" s="1">
        <f>Occupancy!AP5</f>
        <v>763329</v>
      </c>
      <c r="Q5" s="18">
        <f>O5/P5</f>
        <v>0.88940941586131272</v>
      </c>
    </row>
    <row r="6" spans="1:19" x14ac:dyDescent="0.2">
      <c r="A6" s="115"/>
      <c r="B6" t="s">
        <v>23</v>
      </c>
      <c r="C6" s="1">
        <f>Occupancy!AO12</f>
        <v>69841</v>
      </c>
      <c r="D6" s="1">
        <f>Occupancy!AP12</f>
        <v>73200</v>
      </c>
      <c r="E6" s="2">
        <f t="shared" si="0"/>
        <v>0.95411202185792354</v>
      </c>
      <c r="F6" s="2">
        <v>0.94199999999999995</v>
      </c>
      <c r="H6" t="s">
        <v>45</v>
      </c>
      <c r="I6" s="1">
        <f>C9</f>
        <v>3101</v>
      </c>
      <c r="J6" s="1">
        <f>D9</f>
        <v>3172</v>
      </c>
      <c r="K6" s="18">
        <f>I6/J6</f>
        <v>0.97761664564943251</v>
      </c>
      <c r="O6" s="1">
        <f>O4-O5</f>
        <v>0</v>
      </c>
      <c r="P6" s="1">
        <f t="shared" ref="P6:Q6" si="1">P4-P5</f>
        <v>0</v>
      </c>
      <c r="Q6" s="1">
        <f t="shared" si="1"/>
        <v>0</v>
      </c>
    </row>
    <row r="7" spans="1:19" x14ac:dyDescent="0.2">
      <c r="A7" s="115"/>
      <c r="B7" t="s">
        <v>25</v>
      </c>
      <c r="C7" s="1">
        <f>Occupancy!AO16</f>
        <v>91319</v>
      </c>
      <c r="D7" s="1">
        <f>Occupancy!AP16</f>
        <v>95404</v>
      </c>
      <c r="E7" s="2">
        <f t="shared" si="0"/>
        <v>0.95718208880130817</v>
      </c>
      <c r="F7" s="2">
        <v>0.95</v>
      </c>
    </row>
    <row r="8" spans="1:19" x14ac:dyDescent="0.2">
      <c r="A8" s="115"/>
      <c r="B8" t="s">
        <v>26</v>
      </c>
      <c r="C8" s="1">
        <f>14087+2511-465</f>
        <v>16133</v>
      </c>
      <c r="D8" s="1">
        <f>14271+2077</f>
        <v>16348</v>
      </c>
      <c r="E8" s="2">
        <f t="shared" si="0"/>
        <v>0.9868485441644238</v>
      </c>
      <c r="F8" s="2">
        <v>0.97</v>
      </c>
      <c r="H8" t="s">
        <v>36</v>
      </c>
      <c r="I8" s="1">
        <f>SUM(I4:I6)</f>
        <v>439114</v>
      </c>
      <c r="J8" s="1">
        <f>SUM(J4:J6)</f>
        <v>497244</v>
      </c>
      <c r="K8" s="18">
        <f>I8/J8</f>
        <v>0.88309562307438605</v>
      </c>
    </row>
    <row r="9" spans="1:19" x14ac:dyDescent="0.2">
      <c r="A9" s="115"/>
      <c r="B9" t="s">
        <v>27</v>
      </c>
      <c r="C9" s="1">
        <v>3101</v>
      </c>
      <c r="D9" s="1">
        <v>3172</v>
      </c>
      <c r="E9" s="2">
        <f t="shared" si="0"/>
        <v>0.97761664564943251</v>
      </c>
      <c r="F9" s="2">
        <v>0.96</v>
      </c>
    </row>
    <row r="10" spans="1:19" x14ac:dyDescent="0.2">
      <c r="A10" s="115"/>
      <c r="B10" t="s">
        <v>29</v>
      </c>
      <c r="C10" s="1">
        <f>Occupancy!AO23</f>
        <v>36079</v>
      </c>
      <c r="D10" s="1">
        <f>Occupancy!AP23</f>
        <v>37576</v>
      </c>
      <c r="E10" s="2">
        <f t="shared" si="0"/>
        <v>0.96016074089844583</v>
      </c>
      <c r="F10" s="2">
        <v>0.95099999999999996</v>
      </c>
      <c r="H10" t="s">
        <v>46</v>
      </c>
      <c r="I10" s="1">
        <f>C4-I8</f>
        <v>0</v>
      </c>
      <c r="J10" s="1">
        <f>D4-J8</f>
        <v>0</v>
      </c>
      <c r="K10" s="2">
        <f>E4-K8</f>
        <v>0</v>
      </c>
    </row>
    <row r="11" spans="1:19" x14ac:dyDescent="0.2">
      <c r="A11" s="115"/>
      <c r="B11" t="s">
        <v>30</v>
      </c>
      <c r="C11" s="1">
        <f>Occupancy!AO27</f>
        <v>29589</v>
      </c>
      <c r="D11" s="1">
        <f>Occupancy!AP27</f>
        <v>31448</v>
      </c>
      <c r="E11" s="2">
        <f t="shared" si="0"/>
        <v>0.94088654286441109</v>
      </c>
      <c r="F11" s="2">
        <v>0.93799999999999994</v>
      </c>
    </row>
    <row r="12" spans="1:19" x14ac:dyDescent="0.2">
      <c r="A12" s="115"/>
      <c r="B12" t="s">
        <v>31</v>
      </c>
      <c r="C12" s="1">
        <f>Occupancy!AO31</f>
        <v>35100</v>
      </c>
      <c r="D12" s="1">
        <f>Occupancy!AP31</f>
        <v>38796</v>
      </c>
      <c r="E12" s="2">
        <f t="shared" si="0"/>
        <v>0.90473244664398389</v>
      </c>
      <c r="F12" s="2">
        <v>0.93700000000000006</v>
      </c>
      <c r="S12" s="1"/>
    </row>
    <row r="13" spans="1:19" x14ac:dyDescent="0.2">
      <c r="S13" s="1"/>
    </row>
    <row r="14" spans="1:19" x14ac:dyDescent="0.2">
      <c r="S14" s="1"/>
    </row>
    <row r="15" spans="1:19" x14ac:dyDescent="0.2">
      <c r="A15" s="112" t="s">
        <v>20</v>
      </c>
      <c r="B15" t="s">
        <v>1</v>
      </c>
      <c r="C15" s="113">
        <v>2024</v>
      </c>
      <c r="D15" s="113">
        <v>2024</v>
      </c>
      <c r="E15" s="113">
        <v>2024</v>
      </c>
      <c r="F15" s="113">
        <v>2024</v>
      </c>
      <c r="S15" s="1"/>
    </row>
    <row r="16" spans="1:19" x14ac:dyDescent="0.2">
      <c r="A16" s="112"/>
      <c r="B16" t="s">
        <v>2</v>
      </c>
      <c r="C16" s="114" t="s">
        <v>39</v>
      </c>
      <c r="D16" s="114" t="s">
        <v>0</v>
      </c>
      <c r="E16" s="114" t="s">
        <v>0</v>
      </c>
      <c r="F16" s="114" t="s">
        <v>0</v>
      </c>
      <c r="S16" s="1"/>
    </row>
    <row r="17" spans="1:19" x14ac:dyDescent="0.2">
      <c r="A17" s="112"/>
      <c r="B17" t="s">
        <v>12</v>
      </c>
      <c r="C17" t="s">
        <v>14</v>
      </c>
      <c r="D17" t="s">
        <v>15</v>
      </c>
      <c r="E17" t="s">
        <v>16</v>
      </c>
      <c r="F17" t="s">
        <v>17</v>
      </c>
      <c r="S17" s="1"/>
    </row>
    <row r="18" spans="1:19" x14ac:dyDescent="0.2">
      <c r="A18" s="112"/>
      <c r="B18" t="s">
        <v>18</v>
      </c>
      <c r="C18" s="1">
        <f>SUM(C19:C27)</f>
        <v>117181</v>
      </c>
      <c r="D18" s="1">
        <f>SUM(D19:D27)</f>
        <v>128832</v>
      </c>
      <c r="E18" s="2">
        <f>C18/D18</f>
        <v>0.90956439393939392</v>
      </c>
      <c r="F18" s="2">
        <v>0.92</v>
      </c>
      <c r="H18" t="s">
        <v>33</v>
      </c>
      <c r="I18" s="1">
        <f>C19+C20+C21+C22+C25+C26+C27</f>
        <v>89742</v>
      </c>
      <c r="J18" s="1">
        <f>D19+D20+D21+D22+D25+D26+D27</f>
        <v>96136</v>
      </c>
      <c r="K18" s="18">
        <f>I18/J18</f>
        <v>0.93349005575434796</v>
      </c>
      <c r="S18" s="1"/>
    </row>
    <row r="19" spans="1:19" x14ac:dyDescent="0.2">
      <c r="A19" s="112"/>
      <c r="B19" t="s">
        <v>19</v>
      </c>
      <c r="C19" s="1">
        <f>Occupancy!AO7</f>
        <v>29022</v>
      </c>
      <c r="D19" s="1">
        <f>Occupancy!AP7</f>
        <v>32452</v>
      </c>
      <c r="E19" s="2">
        <f t="shared" ref="E19:E27" si="2">C19/D19</f>
        <v>0.89430543572044863</v>
      </c>
      <c r="F19" s="2">
        <v>0.91</v>
      </c>
      <c r="S19" s="1"/>
    </row>
    <row r="20" spans="1:19" x14ac:dyDescent="0.2">
      <c r="A20" s="112"/>
      <c r="B20" t="s">
        <v>23</v>
      </c>
      <c r="C20" s="1">
        <f>Occupancy!AO11</f>
        <v>5798</v>
      </c>
      <c r="D20" s="1">
        <f>Occupancy!AP11</f>
        <v>5856</v>
      </c>
      <c r="E20" s="2">
        <f t="shared" si="2"/>
        <v>0.99009562841530052</v>
      </c>
      <c r="F20" s="2">
        <v>0.98</v>
      </c>
      <c r="H20" t="s">
        <v>45</v>
      </c>
      <c r="I20" s="1">
        <f>C23+C24</f>
        <v>27439</v>
      </c>
      <c r="J20" s="1">
        <f>D23+D24</f>
        <v>32696</v>
      </c>
      <c r="K20" s="18">
        <f>I20/J20</f>
        <v>0.8392158062148275</v>
      </c>
      <c r="S20" s="1"/>
    </row>
    <row r="21" spans="1:19" x14ac:dyDescent="0.2">
      <c r="A21" s="112"/>
      <c r="B21" t="s">
        <v>25</v>
      </c>
      <c r="C21" s="1">
        <f>Occupancy!AO15</f>
        <v>23613</v>
      </c>
      <c r="D21" s="1">
        <f>Occupancy!AP15</f>
        <v>24400</v>
      </c>
      <c r="E21" s="2">
        <f t="shared" si="2"/>
        <v>0.96774590163934426</v>
      </c>
      <c r="F21" s="2">
        <v>0.96</v>
      </c>
    </row>
    <row r="22" spans="1:19" x14ac:dyDescent="0.2">
      <c r="A22" s="112"/>
      <c r="B22" t="s">
        <v>26</v>
      </c>
      <c r="C22" s="1">
        <f>7850+1199-37</f>
        <v>9012</v>
      </c>
      <c r="D22" s="1">
        <f>8307+1209</f>
        <v>9516</v>
      </c>
      <c r="E22" s="2">
        <f t="shared" si="2"/>
        <v>0.94703656998738961</v>
      </c>
      <c r="F22" s="2">
        <v>0.97399999999999998</v>
      </c>
      <c r="H22" t="s">
        <v>36</v>
      </c>
      <c r="I22" s="1">
        <f>SUM(I18:I20)</f>
        <v>117181</v>
      </c>
      <c r="J22" s="1">
        <f>SUM(J18:J20)</f>
        <v>128832</v>
      </c>
      <c r="K22" s="18">
        <f>I22/J22</f>
        <v>0.90956439393939392</v>
      </c>
      <c r="S22" s="1"/>
    </row>
    <row r="23" spans="1:19" x14ac:dyDescent="0.2">
      <c r="A23" s="112"/>
      <c r="B23" t="s">
        <v>27</v>
      </c>
      <c r="C23" s="1">
        <v>18644</v>
      </c>
      <c r="D23" s="1">
        <f>17466+2542</f>
        <v>20008</v>
      </c>
      <c r="E23" s="2">
        <f t="shared" si="2"/>
        <v>0.93182726909236302</v>
      </c>
      <c r="F23" s="2">
        <v>0.90900000000000003</v>
      </c>
    </row>
    <row r="24" spans="1:19" x14ac:dyDescent="0.2">
      <c r="A24" s="112"/>
      <c r="B24" t="s">
        <v>28</v>
      </c>
      <c r="C24" s="1">
        <v>8795</v>
      </c>
      <c r="D24" s="1">
        <f>11076+1612</f>
        <v>12688</v>
      </c>
      <c r="E24" s="2">
        <f t="shared" si="2"/>
        <v>0.69317465321563687</v>
      </c>
      <c r="F24" s="2">
        <v>0.78</v>
      </c>
      <c r="H24" t="s">
        <v>46</v>
      </c>
      <c r="I24" s="1">
        <f>C18-I22</f>
        <v>0</v>
      </c>
      <c r="J24" s="1">
        <f>D18-J22</f>
        <v>0</v>
      </c>
      <c r="K24" s="2">
        <f>E18-K22</f>
        <v>0</v>
      </c>
      <c r="S24" s="1"/>
    </row>
    <row r="25" spans="1:19" x14ac:dyDescent="0.2">
      <c r="A25" s="112"/>
      <c r="B25" t="s">
        <v>29</v>
      </c>
      <c r="C25" s="1">
        <f>Occupancy!AO22</f>
        <v>5743</v>
      </c>
      <c r="D25" s="1">
        <f>Occupancy!AP22</f>
        <v>6100</v>
      </c>
      <c r="E25" s="2">
        <f t="shared" si="2"/>
        <v>0.94147540983606559</v>
      </c>
      <c r="F25" s="2">
        <v>0.92</v>
      </c>
    </row>
    <row r="26" spans="1:19" x14ac:dyDescent="0.2">
      <c r="A26" s="112"/>
      <c r="B26" t="s">
        <v>30</v>
      </c>
      <c r="C26" s="1">
        <f>Occupancy!AO26</f>
        <v>8683</v>
      </c>
      <c r="D26" s="1">
        <f>Occupancy!AP26</f>
        <v>9272</v>
      </c>
      <c r="E26" s="2">
        <f t="shared" si="2"/>
        <v>0.93647540983606559</v>
      </c>
      <c r="F26" s="2">
        <v>0.93</v>
      </c>
    </row>
    <row r="27" spans="1:19" x14ac:dyDescent="0.2">
      <c r="A27" s="112"/>
      <c r="B27" t="s">
        <v>31</v>
      </c>
      <c r="C27" s="1">
        <f>Occupancy!AO30</f>
        <v>7871</v>
      </c>
      <c r="D27" s="1">
        <f>Occupancy!AP30</f>
        <v>8540</v>
      </c>
      <c r="E27" s="2">
        <f t="shared" si="2"/>
        <v>0.92166276346604215</v>
      </c>
      <c r="F27" s="2">
        <v>0.96399999999999997</v>
      </c>
    </row>
    <row r="30" spans="1:19" x14ac:dyDescent="0.2">
      <c r="A30" s="115" t="s">
        <v>22</v>
      </c>
      <c r="B30" t="s">
        <v>1</v>
      </c>
      <c r="C30" s="113">
        <v>2024</v>
      </c>
      <c r="D30" s="113">
        <v>2024</v>
      </c>
      <c r="E30" s="113">
        <v>2024</v>
      </c>
      <c r="F30" s="113">
        <v>2024</v>
      </c>
    </row>
    <row r="31" spans="1:19" x14ac:dyDescent="0.2">
      <c r="A31" s="115"/>
      <c r="B31" t="s">
        <v>2</v>
      </c>
      <c r="C31" s="114" t="s">
        <v>39</v>
      </c>
      <c r="D31" s="114" t="s">
        <v>0</v>
      </c>
      <c r="E31" s="114" t="s">
        <v>0</v>
      </c>
      <c r="F31" s="114" t="s">
        <v>0</v>
      </c>
    </row>
    <row r="32" spans="1:19" x14ac:dyDescent="0.2">
      <c r="A32" s="115"/>
      <c r="B32" t="s">
        <v>12</v>
      </c>
      <c r="C32" t="s">
        <v>14</v>
      </c>
      <c r="D32" t="s">
        <v>15</v>
      </c>
      <c r="E32" t="s">
        <v>16</v>
      </c>
      <c r="F32" t="s">
        <v>17</v>
      </c>
    </row>
    <row r="33" spans="1:11" x14ac:dyDescent="0.2">
      <c r="A33" s="115"/>
      <c r="B33" t="s">
        <v>18</v>
      </c>
      <c r="C33" s="1">
        <f>SUM(C34:C39)</f>
        <v>122617</v>
      </c>
      <c r="D33" s="1">
        <f>SUM(D34:D39)</f>
        <v>137253</v>
      </c>
      <c r="E33" s="2">
        <f>C33/D33</f>
        <v>0.89336480805519736</v>
      </c>
      <c r="F33" s="2">
        <v>0.90500000000000003</v>
      </c>
      <c r="H33" t="s">
        <v>33</v>
      </c>
      <c r="I33" s="1">
        <f>C34+C35+C36+C37+C38+C39</f>
        <v>122617</v>
      </c>
      <c r="J33" s="1">
        <f>D34+D35+D36+D37+D38+D39</f>
        <v>137253</v>
      </c>
      <c r="K33" s="18">
        <f>I33/J33</f>
        <v>0.89336480805519736</v>
      </c>
    </row>
    <row r="34" spans="1:11" x14ac:dyDescent="0.2">
      <c r="A34" s="115"/>
      <c r="B34" t="s">
        <v>19</v>
      </c>
      <c r="C34" s="1">
        <f>Occupancy!AO9</f>
        <v>43778</v>
      </c>
      <c r="D34" s="1">
        <f>Occupancy!AP9</f>
        <v>45140</v>
      </c>
      <c r="E34" s="2">
        <f t="shared" ref="E34:E39" si="3">C34/D34</f>
        <v>0.96982720425343372</v>
      </c>
      <c r="F34" s="2">
        <v>0.95799999999999996</v>
      </c>
    </row>
    <row r="35" spans="1:11" x14ac:dyDescent="0.2">
      <c r="A35" s="115"/>
      <c r="B35" t="s">
        <v>23</v>
      </c>
      <c r="C35" s="1">
        <f>Occupancy!AO13</f>
        <v>8345</v>
      </c>
      <c r="D35" s="1">
        <f>Occupancy!AP13</f>
        <v>11712</v>
      </c>
      <c r="E35" s="2">
        <f t="shared" si="3"/>
        <v>0.71251707650273222</v>
      </c>
      <c r="F35" s="2">
        <v>0.83299999999999996</v>
      </c>
      <c r="H35" t="s">
        <v>45</v>
      </c>
      <c r="I35">
        <v>0</v>
      </c>
      <c r="J35">
        <v>0</v>
      </c>
      <c r="K35" s="18"/>
    </row>
    <row r="36" spans="1:11" x14ac:dyDescent="0.2">
      <c r="A36" s="115"/>
      <c r="B36" t="s">
        <v>25</v>
      </c>
      <c r="C36" s="1">
        <f>Occupancy!AO17</f>
        <v>15997</v>
      </c>
      <c r="D36" s="1">
        <f>Occupancy!AP17</f>
        <v>16836</v>
      </c>
      <c r="E36" s="2">
        <f t="shared" si="3"/>
        <v>0.95016631028747922</v>
      </c>
      <c r="F36" s="2">
        <v>0.95</v>
      </c>
    </row>
    <row r="37" spans="1:11" x14ac:dyDescent="0.2">
      <c r="A37" s="115"/>
      <c r="B37" t="s">
        <v>29</v>
      </c>
      <c r="C37" s="1">
        <f>Occupancy!AO24</f>
        <v>15086</v>
      </c>
      <c r="D37" s="1">
        <f>Occupancy!AP24</f>
        <v>15616</v>
      </c>
      <c r="E37" s="2">
        <f t="shared" si="3"/>
        <v>0.96606045081967218</v>
      </c>
      <c r="F37" s="2">
        <v>0.94499999999999995</v>
      </c>
      <c r="H37" t="s">
        <v>36</v>
      </c>
      <c r="I37" s="1">
        <f>SUM(I33:I35)</f>
        <v>122617</v>
      </c>
      <c r="J37" s="1">
        <f>SUM(J33:J35)</f>
        <v>137253</v>
      </c>
      <c r="K37" s="18">
        <f>I37/J37</f>
        <v>0.89336480805519736</v>
      </c>
    </row>
    <row r="38" spans="1:11" x14ac:dyDescent="0.2">
      <c r="A38" s="115"/>
      <c r="B38" t="s">
        <v>30</v>
      </c>
      <c r="C38" s="1">
        <f>Occupancy!AO28</f>
        <v>21996</v>
      </c>
      <c r="D38" s="1">
        <f>Occupancy!AP28</f>
        <v>29036</v>
      </c>
      <c r="E38" s="2">
        <f t="shared" si="3"/>
        <v>0.75754236120677776</v>
      </c>
      <c r="F38" s="2">
        <v>0.77300000000000002</v>
      </c>
    </row>
    <row r="39" spans="1:11" x14ac:dyDescent="0.2">
      <c r="A39" s="115"/>
      <c r="B39" t="s">
        <v>31</v>
      </c>
      <c r="C39" s="1">
        <f>Occupancy!AO32</f>
        <v>17415</v>
      </c>
      <c r="D39" s="1">
        <f>Occupancy!AP32</f>
        <v>18913</v>
      </c>
      <c r="E39" s="2">
        <f t="shared" si="3"/>
        <v>0.92079522021889704</v>
      </c>
      <c r="F39" s="2">
        <v>0.95</v>
      </c>
      <c r="H39" t="s">
        <v>46</v>
      </c>
      <c r="I39" s="1">
        <f>C33-I37</f>
        <v>0</v>
      </c>
      <c r="J39" s="1">
        <f>D33-J37</f>
        <v>0</v>
      </c>
      <c r="K39" s="2">
        <f>E33-K37</f>
        <v>0</v>
      </c>
    </row>
  </sheetData>
  <mergeCells count="10">
    <mergeCell ref="N3:Q3"/>
    <mergeCell ref="A15:A27"/>
    <mergeCell ref="C15:F15"/>
    <mergeCell ref="C16:F16"/>
    <mergeCell ref="A30:A39"/>
    <mergeCell ref="C30:F30"/>
    <mergeCell ref="C31:F31"/>
    <mergeCell ref="A1:A12"/>
    <mergeCell ref="C1:F1"/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FDE8-23D4-4B64-AF17-30885555C109}">
  <dimension ref="A1:BW105"/>
  <sheetViews>
    <sheetView workbookViewId="0">
      <pane xSplit="1" topLeftCell="AQ1" activePane="topRight" state="frozen"/>
      <selection pane="topRight" activeCell="AQ19" sqref="AQ19"/>
    </sheetView>
  </sheetViews>
  <sheetFormatPr defaultRowHeight="12.75" x14ac:dyDescent="0.2"/>
  <cols>
    <col min="1" max="1" width="23.85546875" style="3" customWidth="1"/>
    <col min="2" max="2" width="20" style="3" customWidth="1"/>
    <col min="3" max="3" width="13.85546875" customWidth="1"/>
    <col min="4" max="4" width="21" customWidth="1"/>
    <col min="5" max="5" width="9.140625" customWidth="1"/>
    <col min="6" max="6" width="10.140625" customWidth="1"/>
    <col min="7" max="7" width="17.42578125" customWidth="1"/>
    <col min="8" max="8" width="13.85546875" customWidth="1"/>
    <col min="9" max="9" width="21" customWidth="1"/>
    <col min="10" max="10" width="9.140625" customWidth="1"/>
    <col min="11" max="11" width="10.140625" customWidth="1"/>
    <col min="12" max="12" width="17.42578125" customWidth="1"/>
    <col min="13" max="13" width="13.85546875" customWidth="1"/>
    <col min="14" max="14" width="21" customWidth="1"/>
    <col min="15" max="15" width="9.140625" customWidth="1"/>
    <col min="16" max="16" width="10.140625" customWidth="1"/>
    <col min="17" max="17" width="17.42578125" customWidth="1"/>
    <col min="18" max="18" width="13.85546875" customWidth="1"/>
    <col min="19" max="19" width="21" customWidth="1"/>
    <col min="20" max="20" width="9.140625" customWidth="1"/>
    <col min="21" max="21" width="10.140625" customWidth="1"/>
    <col min="22" max="22" width="17.42578125" customWidth="1"/>
    <col min="23" max="23" width="13.85546875" customWidth="1"/>
    <col min="24" max="24" width="21" customWidth="1"/>
    <col min="25" max="25" width="9.140625" customWidth="1"/>
    <col min="26" max="26" width="10.140625" customWidth="1"/>
    <col min="27" max="27" width="17.42578125" customWidth="1"/>
    <col min="28" max="28" width="13.85546875" customWidth="1"/>
    <col min="29" max="29" width="21" customWidth="1"/>
    <col min="30" max="30" width="9.140625" customWidth="1"/>
    <col min="31" max="31" width="10.140625" customWidth="1"/>
    <col min="32" max="32" width="17.42578125" customWidth="1"/>
    <col min="33" max="33" width="13.85546875" customWidth="1"/>
    <col min="34" max="34" width="21" customWidth="1"/>
    <col min="35" max="35" width="9.140625" customWidth="1"/>
    <col min="36" max="36" width="10.140625" customWidth="1"/>
    <col min="37" max="37" width="17.42578125" customWidth="1"/>
    <col min="38" max="38" width="13.85546875" customWidth="1"/>
    <col min="39" max="39" width="21" customWidth="1"/>
    <col min="40" max="40" width="9.140625" customWidth="1"/>
    <col min="41" max="41" width="10.140625" customWidth="1"/>
    <col min="42" max="42" width="17.42578125" customWidth="1"/>
    <col min="43" max="43" width="13.85546875" customWidth="1"/>
    <col min="44" max="44" width="21" customWidth="1"/>
    <col min="45" max="45" width="9.140625" customWidth="1"/>
    <col min="46" max="46" width="10.140625" customWidth="1"/>
    <col min="47" max="47" width="17.42578125" customWidth="1"/>
    <col min="48" max="49" width="9.140625" customWidth="1"/>
    <col min="50" max="50" width="18.42578125" customWidth="1"/>
    <col min="51" max="52" width="7.5703125" customWidth="1"/>
    <col min="53" max="54" width="8.28515625" customWidth="1"/>
    <col min="55" max="55" width="9.140625" customWidth="1"/>
    <col min="56" max="56" width="18.42578125" customWidth="1"/>
    <col min="57" max="57" width="6.5703125" customWidth="1"/>
    <col min="58" max="58" width="6.85546875" customWidth="1"/>
    <col min="59" max="60" width="8.28515625" customWidth="1"/>
    <col min="61" max="61" width="3.140625" customWidth="1"/>
    <col min="62" max="62" width="18.42578125" customWidth="1"/>
    <col min="63" max="64" width="7.5703125" customWidth="1"/>
    <col min="65" max="66" width="8.28515625" customWidth="1"/>
    <col min="67" max="67" width="3.140625" bestFit="1" customWidth="1"/>
    <col min="68" max="68" width="18.42578125" bestFit="1" customWidth="1"/>
    <col min="69" max="69" width="6.5703125" bestFit="1" customWidth="1"/>
    <col min="70" max="70" width="8.5703125" bestFit="1" customWidth="1"/>
    <col min="71" max="71" width="8.28515625" bestFit="1" customWidth="1"/>
    <col min="72" max="72" width="9.85546875" bestFit="1" customWidth="1"/>
  </cols>
  <sheetData>
    <row r="1" spans="1:75" s="3" customFormat="1" x14ac:dyDescent="0.2">
      <c r="A1" s="3" t="s">
        <v>0</v>
      </c>
      <c r="B1" s="3" t="s">
        <v>1</v>
      </c>
      <c r="M1" s="109">
        <v>2024</v>
      </c>
      <c r="N1" s="109">
        <v>2024</v>
      </c>
      <c r="O1" s="109">
        <v>2024</v>
      </c>
      <c r="P1" s="109">
        <v>2024</v>
      </c>
      <c r="Q1" s="109">
        <v>2024</v>
      </c>
      <c r="R1" s="109">
        <v>2024</v>
      </c>
      <c r="S1" s="109">
        <v>2024</v>
      </c>
      <c r="T1" s="109">
        <v>2024</v>
      </c>
      <c r="U1" s="109">
        <v>2024</v>
      </c>
      <c r="V1" s="109">
        <v>2024</v>
      </c>
      <c r="W1" s="109">
        <v>2024</v>
      </c>
      <c r="X1" s="109">
        <v>2024</v>
      </c>
      <c r="Y1" s="109">
        <v>2024</v>
      </c>
      <c r="Z1" s="109">
        <v>2024</v>
      </c>
      <c r="AA1" s="109">
        <v>2024</v>
      </c>
      <c r="AB1" s="109">
        <v>2024</v>
      </c>
      <c r="AC1" s="109">
        <v>2024</v>
      </c>
      <c r="AD1" s="109">
        <v>2024</v>
      </c>
      <c r="AE1" s="109">
        <v>2024</v>
      </c>
      <c r="AF1" s="109">
        <v>2024</v>
      </c>
      <c r="AG1" s="109">
        <v>2024</v>
      </c>
      <c r="AH1" s="109">
        <v>2024</v>
      </c>
      <c r="AI1" s="109">
        <v>2024</v>
      </c>
      <c r="AJ1" s="109">
        <v>2024</v>
      </c>
      <c r="AK1" s="109">
        <v>2024</v>
      </c>
      <c r="AL1" s="109">
        <v>2024</v>
      </c>
      <c r="AM1" s="109">
        <v>2024</v>
      </c>
      <c r="AN1" s="109">
        <v>2024</v>
      </c>
      <c r="AO1" s="109">
        <v>2024</v>
      </c>
      <c r="AP1" s="109">
        <v>2024</v>
      </c>
    </row>
    <row r="2" spans="1:75" s="3" customFormat="1" ht="13.5" thickBot="1" x14ac:dyDescent="0.25">
      <c r="A2" s="3" t="s">
        <v>0</v>
      </c>
      <c r="B2" s="3" t="s">
        <v>2</v>
      </c>
      <c r="M2" s="110" t="s">
        <v>3</v>
      </c>
      <c r="N2" s="110" t="s">
        <v>3</v>
      </c>
      <c r="O2" s="110" t="s">
        <v>3</v>
      </c>
      <c r="P2" s="110" t="s">
        <v>3</v>
      </c>
      <c r="Q2" s="110" t="s">
        <v>3</v>
      </c>
      <c r="R2" s="110" t="s">
        <v>3</v>
      </c>
      <c r="S2" s="110" t="s">
        <v>3</v>
      </c>
      <c r="T2" s="110" t="s">
        <v>3</v>
      </c>
      <c r="U2" s="110" t="s">
        <v>3</v>
      </c>
      <c r="V2" s="110" t="s">
        <v>3</v>
      </c>
      <c r="W2" s="110" t="s">
        <v>3</v>
      </c>
      <c r="X2" s="110" t="s">
        <v>3</v>
      </c>
      <c r="Y2" s="110" t="s">
        <v>3</v>
      </c>
      <c r="Z2" s="110" t="s">
        <v>3</v>
      </c>
      <c r="AA2" s="110" t="s">
        <v>3</v>
      </c>
      <c r="AB2" s="110" t="s">
        <v>4</v>
      </c>
      <c r="AC2" s="110" t="s">
        <v>4</v>
      </c>
      <c r="AD2" s="110" t="s">
        <v>4</v>
      </c>
      <c r="AE2" s="110" t="s">
        <v>4</v>
      </c>
      <c r="AF2" s="110" t="s">
        <v>4</v>
      </c>
      <c r="AG2" s="110" t="s">
        <v>4</v>
      </c>
      <c r="AH2" s="110" t="s">
        <v>4</v>
      </c>
      <c r="AI2" s="110" t="s">
        <v>4</v>
      </c>
      <c r="AJ2" s="110" t="s">
        <v>4</v>
      </c>
      <c r="AK2" s="110" t="s">
        <v>4</v>
      </c>
      <c r="AL2" s="110" t="s">
        <v>4</v>
      </c>
      <c r="AM2" s="110" t="s">
        <v>4</v>
      </c>
      <c r="AN2" s="110" t="s">
        <v>4</v>
      </c>
      <c r="AO2" s="110" t="s">
        <v>4</v>
      </c>
      <c r="AP2" s="110" t="s">
        <v>4</v>
      </c>
    </row>
    <row r="3" spans="1:75" s="3" customFormat="1" x14ac:dyDescent="0.2">
      <c r="A3" s="3" t="s">
        <v>0</v>
      </c>
      <c r="B3" s="3" t="s">
        <v>67</v>
      </c>
      <c r="C3" s="116" t="s">
        <v>85</v>
      </c>
      <c r="D3" s="117" t="s">
        <v>66</v>
      </c>
      <c r="E3" s="117" t="s">
        <v>66</v>
      </c>
      <c r="F3" s="117" t="s">
        <v>66</v>
      </c>
      <c r="G3" s="118" t="s">
        <v>66</v>
      </c>
      <c r="H3" s="116" t="s">
        <v>82</v>
      </c>
      <c r="I3" s="117" t="s">
        <v>66</v>
      </c>
      <c r="J3" s="117" t="s">
        <v>66</v>
      </c>
      <c r="K3" s="117" t="s">
        <v>66</v>
      </c>
      <c r="L3" s="118" t="s">
        <v>66</v>
      </c>
      <c r="M3" s="116" t="s">
        <v>66</v>
      </c>
      <c r="N3" s="117" t="s">
        <v>66</v>
      </c>
      <c r="O3" s="117" t="s">
        <v>66</v>
      </c>
      <c r="P3" s="117" t="s">
        <v>66</v>
      </c>
      <c r="Q3" s="118" t="s">
        <v>66</v>
      </c>
      <c r="R3" s="116" t="s">
        <v>65</v>
      </c>
      <c r="S3" s="117" t="s">
        <v>65</v>
      </c>
      <c r="T3" s="117" t="s">
        <v>65</v>
      </c>
      <c r="U3" s="117" t="s">
        <v>65</v>
      </c>
      <c r="V3" s="118" t="s">
        <v>65</v>
      </c>
      <c r="W3" s="116" t="s">
        <v>64</v>
      </c>
      <c r="X3" s="117" t="s">
        <v>64</v>
      </c>
      <c r="Y3" s="117" t="s">
        <v>64</v>
      </c>
      <c r="Z3" s="117" t="s">
        <v>64</v>
      </c>
      <c r="AA3" s="118" t="s">
        <v>64</v>
      </c>
      <c r="AB3" s="116" t="s">
        <v>63</v>
      </c>
      <c r="AC3" s="117" t="s">
        <v>63</v>
      </c>
      <c r="AD3" s="117" t="s">
        <v>63</v>
      </c>
      <c r="AE3" s="117" t="s">
        <v>63</v>
      </c>
      <c r="AF3" s="118" t="s">
        <v>63</v>
      </c>
      <c r="AG3" s="116" t="s">
        <v>62</v>
      </c>
      <c r="AH3" s="117" t="s">
        <v>62</v>
      </c>
      <c r="AI3" s="117" t="s">
        <v>62</v>
      </c>
      <c r="AJ3" s="117" t="s">
        <v>62</v>
      </c>
      <c r="AK3" s="118" t="s">
        <v>62</v>
      </c>
      <c r="AL3" s="116" t="s">
        <v>61</v>
      </c>
      <c r="AM3" s="117" t="s">
        <v>61</v>
      </c>
      <c r="AN3" s="117" t="s">
        <v>61</v>
      </c>
      <c r="AO3" s="117" t="s">
        <v>61</v>
      </c>
      <c r="AP3" s="118" t="s">
        <v>61</v>
      </c>
      <c r="AQ3" s="123" t="s">
        <v>70</v>
      </c>
      <c r="AR3" s="124"/>
      <c r="AS3" s="124"/>
      <c r="AT3" s="124"/>
      <c r="AU3" s="125"/>
    </row>
    <row r="4" spans="1:75" s="3" customFormat="1" ht="13.5" thickBot="1" x14ac:dyDescent="0.25">
      <c r="A4" s="3" t="s">
        <v>0</v>
      </c>
      <c r="B4" s="3" t="s">
        <v>60</v>
      </c>
      <c r="C4" s="119" t="s">
        <v>18</v>
      </c>
      <c r="D4" s="110" t="s">
        <v>18</v>
      </c>
      <c r="E4" s="110" t="s">
        <v>18</v>
      </c>
      <c r="F4" s="110" t="s">
        <v>18</v>
      </c>
      <c r="G4" s="120" t="s">
        <v>18</v>
      </c>
      <c r="H4" s="119" t="s">
        <v>18</v>
      </c>
      <c r="I4" s="110" t="s">
        <v>18</v>
      </c>
      <c r="J4" s="110" t="s">
        <v>18</v>
      </c>
      <c r="K4" s="110" t="s">
        <v>18</v>
      </c>
      <c r="L4" s="120" t="s">
        <v>18</v>
      </c>
      <c r="M4" s="119" t="s">
        <v>18</v>
      </c>
      <c r="N4" s="110" t="s">
        <v>18</v>
      </c>
      <c r="O4" s="110" t="s">
        <v>18</v>
      </c>
      <c r="P4" s="110" t="s">
        <v>18</v>
      </c>
      <c r="Q4" s="120" t="s">
        <v>18</v>
      </c>
      <c r="R4" s="119" t="s">
        <v>18</v>
      </c>
      <c r="S4" s="110" t="s">
        <v>18</v>
      </c>
      <c r="T4" s="110" t="s">
        <v>18</v>
      </c>
      <c r="U4" s="110" t="s">
        <v>18</v>
      </c>
      <c r="V4" s="120" t="s">
        <v>18</v>
      </c>
      <c r="W4" s="119" t="s">
        <v>18</v>
      </c>
      <c r="X4" s="110" t="s">
        <v>18</v>
      </c>
      <c r="Y4" s="110" t="s">
        <v>18</v>
      </c>
      <c r="Z4" s="110" t="s">
        <v>18</v>
      </c>
      <c r="AA4" s="120" t="s">
        <v>18</v>
      </c>
      <c r="AB4" s="119" t="s">
        <v>18</v>
      </c>
      <c r="AC4" s="110" t="s">
        <v>18</v>
      </c>
      <c r="AD4" s="110" t="s">
        <v>18</v>
      </c>
      <c r="AE4" s="110" t="s">
        <v>18</v>
      </c>
      <c r="AF4" s="120" t="s">
        <v>18</v>
      </c>
      <c r="AG4" s="119" t="s">
        <v>18</v>
      </c>
      <c r="AH4" s="110" t="s">
        <v>18</v>
      </c>
      <c r="AI4" s="110" t="s">
        <v>18</v>
      </c>
      <c r="AJ4" s="110" t="s">
        <v>18</v>
      </c>
      <c r="AK4" s="120" t="s">
        <v>18</v>
      </c>
      <c r="AL4" s="119" t="s">
        <v>18</v>
      </c>
      <c r="AM4" s="110" t="s">
        <v>18</v>
      </c>
      <c r="AN4" s="110" t="s">
        <v>18</v>
      </c>
      <c r="AO4" s="110" t="s">
        <v>18</v>
      </c>
      <c r="AP4" s="120" t="s">
        <v>18</v>
      </c>
      <c r="AQ4" s="126"/>
      <c r="AR4" s="127"/>
      <c r="AS4" s="127"/>
      <c r="AT4" s="127"/>
      <c r="AU4" s="128"/>
    </row>
    <row r="5" spans="1:75" s="3" customFormat="1" x14ac:dyDescent="0.2">
      <c r="A5" s="3" t="s">
        <v>59</v>
      </c>
      <c r="B5" s="3" t="s">
        <v>58</v>
      </c>
      <c r="C5" s="20" t="s">
        <v>14</v>
      </c>
      <c r="D5" s="3" t="s">
        <v>57</v>
      </c>
      <c r="E5" s="3" t="s">
        <v>56</v>
      </c>
      <c r="F5" s="3" t="s">
        <v>55</v>
      </c>
      <c r="G5" s="21" t="s">
        <v>54</v>
      </c>
      <c r="H5" s="20" t="s">
        <v>14</v>
      </c>
      <c r="I5" s="3" t="s">
        <v>57</v>
      </c>
      <c r="J5" s="3" t="s">
        <v>56</v>
      </c>
      <c r="K5" s="3" t="s">
        <v>55</v>
      </c>
      <c r="L5" s="21" t="s">
        <v>54</v>
      </c>
      <c r="M5" s="20" t="s">
        <v>14</v>
      </c>
      <c r="N5" s="3" t="s">
        <v>57</v>
      </c>
      <c r="O5" s="3" t="s">
        <v>56</v>
      </c>
      <c r="P5" s="3" t="s">
        <v>55</v>
      </c>
      <c r="Q5" s="21" t="s">
        <v>54</v>
      </c>
      <c r="R5" s="20" t="s">
        <v>14</v>
      </c>
      <c r="S5" s="3" t="s">
        <v>57</v>
      </c>
      <c r="T5" s="3" t="s">
        <v>56</v>
      </c>
      <c r="U5" s="3" t="s">
        <v>55</v>
      </c>
      <c r="V5" s="21" t="s">
        <v>54</v>
      </c>
      <c r="W5" s="20" t="s">
        <v>14</v>
      </c>
      <c r="X5" s="3" t="s">
        <v>57</v>
      </c>
      <c r="Y5" s="3" t="s">
        <v>56</v>
      </c>
      <c r="Z5" s="3" t="s">
        <v>55</v>
      </c>
      <c r="AA5" s="21" t="s">
        <v>54</v>
      </c>
      <c r="AB5" s="20" t="s">
        <v>14</v>
      </c>
      <c r="AC5" s="3" t="s">
        <v>57</v>
      </c>
      <c r="AD5" s="3" t="s">
        <v>56</v>
      </c>
      <c r="AE5" s="3" t="s">
        <v>55</v>
      </c>
      <c r="AF5" s="21" t="s">
        <v>54</v>
      </c>
      <c r="AG5" s="20" t="s">
        <v>14</v>
      </c>
      <c r="AH5" s="3" t="s">
        <v>57</v>
      </c>
      <c r="AI5" s="3" t="s">
        <v>56</v>
      </c>
      <c r="AJ5" s="3" t="s">
        <v>55</v>
      </c>
      <c r="AK5" s="21" t="s">
        <v>54</v>
      </c>
      <c r="AL5" s="20" t="s">
        <v>14</v>
      </c>
      <c r="AM5" s="3" t="s">
        <v>57</v>
      </c>
      <c r="AN5" s="3" t="s">
        <v>56</v>
      </c>
      <c r="AO5" s="3" t="s">
        <v>55</v>
      </c>
      <c r="AP5" s="21" t="s">
        <v>54</v>
      </c>
      <c r="AQ5" s="37" t="s">
        <v>14</v>
      </c>
      <c r="AR5" s="38" t="s">
        <v>57</v>
      </c>
      <c r="AS5" s="38" t="s">
        <v>56</v>
      </c>
      <c r="AT5" s="38" t="s">
        <v>55</v>
      </c>
      <c r="AU5" s="39" t="s">
        <v>54</v>
      </c>
      <c r="AW5" s="37"/>
      <c r="AX5" s="38"/>
      <c r="AY5" s="38"/>
      <c r="AZ5" s="38"/>
      <c r="BA5" s="38"/>
      <c r="BB5" s="38"/>
      <c r="BC5" s="39"/>
    </row>
    <row r="6" spans="1:75" s="3" customFormat="1" ht="13.5" thickBot="1" x14ac:dyDescent="0.25">
      <c r="A6" s="3" t="s">
        <v>18</v>
      </c>
      <c r="B6" s="3" t="s">
        <v>0</v>
      </c>
      <c r="C6" s="22">
        <f>C7+C15+C22+C28+C35+C42</f>
        <v>15649</v>
      </c>
      <c r="D6" s="23">
        <f>D7+D15+D22+D28+D35+D42</f>
        <v>15688</v>
      </c>
      <c r="E6" s="24">
        <f>C6-D6</f>
        <v>-39</v>
      </c>
      <c r="F6" s="25">
        <v>1</v>
      </c>
      <c r="G6" s="26">
        <v>1</v>
      </c>
      <c r="H6" s="22">
        <f>H7+H15+H22+H28+H35+H42</f>
        <v>15607</v>
      </c>
      <c r="I6" s="23">
        <f>I7+I15+I22+I28+I35+I42</f>
        <v>15690</v>
      </c>
      <c r="J6" s="24">
        <f>H6-I6</f>
        <v>-83</v>
      </c>
      <c r="K6" s="25">
        <v>1</v>
      </c>
      <c r="L6" s="26">
        <v>1</v>
      </c>
      <c r="M6" s="22">
        <f>M7+M15+M22+M28+M35+M42</f>
        <v>15139</v>
      </c>
      <c r="N6" s="23">
        <f>N7+N15+N22+N28+N35+N42</f>
        <v>15247.2</v>
      </c>
      <c r="O6" s="24">
        <f>M6-N6</f>
        <v>-108.20000000000073</v>
      </c>
      <c r="P6" s="25">
        <v>1</v>
      </c>
      <c r="Q6" s="26">
        <v>1</v>
      </c>
      <c r="R6" s="22">
        <f>R7+R15+R22+R28+R35+R42</f>
        <v>15239</v>
      </c>
      <c r="S6" s="23">
        <f>S7+S15+S22+S28+S35+S42</f>
        <v>15755.44000000001</v>
      </c>
      <c r="T6" s="24">
        <f>R6-S6</f>
        <v>-516.4400000000096</v>
      </c>
      <c r="U6" s="25">
        <v>1</v>
      </c>
      <c r="V6" s="26">
        <v>1</v>
      </c>
      <c r="W6" s="22">
        <f>W7+W15+W22+W28+W35+W42</f>
        <v>15224</v>
      </c>
      <c r="X6" s="23">
        <f>X7+X15+X22+X28+X35+X42</f>
        <v>15247.2</v>
      </c>
      <c r="Y6" s="24">
        <f>W6-X6</f>
        <v>-23.200000000000728</v>
      </c>
      <c r="Z6" s="25">
        <v>1</v>
      </c>
      <c r="AA6" s="26">
        <v>1</v>
      </c>
      <c r="AB6" s="22">
        <f>AB7+AB15+AB22+AB28+AB35+AB42</f>
        <v>15592</v>
      </c>
      <c r="AC6" s="23">
        <f>AC7+AC15+AC22+AC28+AC35+AC42</f>
        <v>15755.439999999999</v>
      </c>
      <c r="AD6" s="24">
        <f>AB6-AC6</f>
        <v>-163.43999999999869</v>
      </c>
      <c r="AE6" s="25">
        <v>1</v>
      </c>
      <c r="AF6" s="26">
        <v>1</v>
      </c>
      <c r="AG6" s="22">
        <f>AG7+AG15+AG22+AG28+AG35+AG42</f>
        <v>14795</v>
      </c>
      <c r="AH6" s="23">
        <f>AH7+AH15+AH22+AH28+AH35+AH42</f>
        <v>14738.960000000001</v>
      </c>
      <c r="AI6" s="90">
        <f>AG6-AH6</f>
        <v>56.039999999999054</v>
      </c>
      <c r="AJ6" s="25">
        <v>1</v>
      </c>
      <c r="AK6" s="26">
        <v>1</v>
      </c>
      <c r="AL6" s="22">
        <f>AL7+AL15+AL22+AL28+AL35+AL42</f>
        <v>15372</v>
      </c>
      <c r="AM6" s="23">
        <f>AM7+AM15+AM22+AM28+AM35+AM42</f>
        <v>15755.439999999999</v>
      </c>
      <c r="AN6" s="24">
        <f>AL6-AM6</f>
        <v>-383.43999999999869</v>
      </c>
      <c r="AO6" s="25">
        <v>1</v>
      </c>
      <c r="AP6" s="26">
        <v>1</v>
      </c>
      <c r="AQ6" s="40">
        <f t="shared" ref="AQ6:AQ48" si="0">M6+R6+W6+AB6+AG6+AL6+H6+C6</f>
        <v>122617</v>
      </c>
      <c r="AR6" s="41">
        <f t="shared" ref="AR6:AR48" si="1">N6+S6+X6+AC6+AH6+AM6+I6+D6</f>
        <v>123877.68000000002</v>
      </c>
      <c r="AS6" s="42">
        <f>AQ6-AR6</f>
        <v>-1260.6800000000221</v>
      </c>
      <c r="AT6" s="66">
        <f>AQ6/AQ6</f>
        <v>1</v>
      </c>
      <c r="AU6" s="43"/>
      <c r="AW6" s="20"/>
      <c r="AX6" s="121" t="s">
        <v>71</v>
      </c>
      <c r="AY6" s="121"/>
      <c r="AZ6" s="121"/>
      <c r="BA6" s="121"/>
      <c r="BB6" s="121"/>
      <c r="BC6" s="21"/>
      <c r="BD6" s="121" t="s">
        <v>72</v>
      </c>
      <c r="BE6" s="121"/>
      <c r="BF6" s="121"/>
      <c r="BG6" s="121"/>
      <c r="BH6" s="121"/>
      <c r="BJ6" s="121" t="s">
        <v>73</v>
      </c>
      <c r="BK6" s="121"/>
      <c r="BL6" s="121"/>
      <c r="BM6" s="121"/>
      <c r="BN6" s="121"/>
      <c r="BP6" s="121" t="s">
        <v>81</v>
      </c>
      <c r="BQ6" s="121"/>
      <c r="BR6" s="121"/>
      <c r="BS6" s="121"/>
      <c r="BT6" s="121"/>
    </row>
    <row r="7" spans="1:75" s="3" customFormat="1" x14ac:dyDescent="0.2">
      <c r="A7" s="123" t="s">
        <v>19</v>
      </c>
      <c r="B7" s="38" t="s">
        <v>18</v>
      </c>
      <c r="C7" s="45">
        <f>SUM(C8:C14)</f>
        <v>5589</v>
      </c>
      <c r="D7" s="45">
        <f>SUM(D8:D14)</f>
        <v>5518</v>
      </c>
      <c r="E7" s="47">
        <f>C7-D7</f>
        <v>71</v>
      </c>
      <c r="F7" s="48">
        <v>1</v>
      </c>
      <c r="G7" s="49">
        <v>1</v>
      </c>
      <c r="H7" s="45">
        <f>SUM(H8:H14)</f>
        <v>5563</v>
      </c>
      <c r="I7" s="45">
        <f>SUM(I8:I14)</f>
        <v>5518</v>
      </c>
      <c r="J7" s="47">
        <f>H7-I7</f>
        <v>45</v>
      </c>
      <c r="K7" s="48">
        <v>1</v>
      </c>
      <c r="L7" s="49">
        <v>1</v>
      </c>
      <c r="M7" s="45">
        <f>SUM(M8:M14)</f>
        <v>5404</v>
      </c>
      <c r="N7" s="46">
        <f>SUM(N8:N14)</f>
        <v>5340</v>
      </c>
      <c r="O7" s="47">
        <f>M7-N7</f>
        <v>64</v>
      </c>
      <c r="P7" s="48">
        <v>1</v>
      </c>
      <c r="Q7" s="49">
        <v>1</v>
      </c>
      <c r="R7" s="45">
        <v>5318</v>
      </c>
      <c r="S7" s="46">
        <v>5518.00000000001</v>
      </c>
      <c r="T7" s="50">
        <v>-200.00000000000799</v>
      </c>
      <c r="U7" s="48">
        <v>1</v>
      </c>
      <c r="V7" s="49">
        <v>1</v>
      </c>
      <c r="W7" s="45">
        <v>5561</v>
      </c>
      <c r="X7" s="46">
        <v>5340</v>
      </c>
      <c r="Y7" s="47">
        <v>220.99999999999901</v>
      </c>
      <c r="Z7" s="48">
        <v>1</v>
      </c>
      <c r="AA7" s="49">
        <v>1</v>
      </c>
      <c r="AB7" s="45">
        <v>5670</v>
      </c>
      <c r="AC7" s="46">
        <v>5518</v>
      </c>
      <c r="AD7" s="47">
        <v>151.99999999999901</v>
      </c>
      <c r="AE7" s="48">
        <v>1</v>
      </c>
      <c r="AF7" s="49">
        <v>1</v>
      </c>
      <c r="AG7" s="45">
        <v>5288</v>
      </c>
      <c r="AH7" s="46">
        <v>5162</v>
      </c>
      <c r="AI7" s="47">
        <v>125.99999999999901</v>
      </c>
      <c r="AJ7" s="48">
        <v>1</v>
      </c>
      <c r="AK7" s="49">
        <v>1</v>
      </c>
      <c r="AL7" s="45">
        <v>5385</v>
      </c>
      <c r="AM7" s="46">
        <v>5518</v>
      </c>
      <c r="AN7" s="50">
        <v>-132.999999999995</v>
      </c>
      <c r="AO7" s="48">
        <v>1</v>
      </c>
      <c r="AP7" s="49">
        <v>0.999999999999999</v>
      </c>
      <c r="AQ7" s="45">
        <f t="shared" si="0"/>
        <v>43778</v>
      </c>
      <c r="AR7" s="23">
        <f t="shared" si="1"/>
        <v>43432.000000000015</v>
      </c>
      <c r="AS7" s="67">
        <f t="shared" ref="AS7:AS48" si="2">AQ7-AR7</f>
        <v>345.99999999998545</v>
      </c>
      <c r="AT7" s="64">
        <f>AQ7/AQ7</f>
        <v>1</v>
      </c>
      <c r="AU7" s="39"/>
      <c r="AW7" s="20"/>
      <c r="AX7" s="116" t="s">
        <v>68</v>
      </c>
      <c r="AY7" s="117"/>
      <c r="AZ7" s="117"/>
      <c r="BA7" s="117"/>
      <c r="BB7" s="60"/>
      <c r="BC7" s="21"/>
      <c r="BD7" s="117" t="s">
        <v>68</v>
      </c>
      <c r="BE7" s="117"/>
      <c r="BF7" s="117"/>
      <c r="BG7" s="117"/>
      <c r="BH7" s="60"/>
      <c r="BI7" s="122" t="s">
        <v>74</v>
      </c>
      <c r="BJ7" s="116" t="s">
        <v>68</v>
      </c>
      <c r="BK7" s="117"/>
      <c r="BL7" s="117"/>
      <c r="BM7" s="117"/>
      <c r="BN7" s="60"/>
      <c r="BO7" s="122" t="s">
        <v>74</v>
      </c>
      <c r="BP7" s="116" t="s">
        <v>68</v>
      </c>
      <c r="BQ7" s="117"/>
      <c r="BR7" s="117"/>
      <c r="BS7" s="117"/>
      <c r="BT7" s="60"/>
    </row>
    <row r="8" spans="1:75" x14ac:dyDescent="0.2">
      <c r="A8" s="129" t="s">
        <v>19</v>
      </c>
      <c r="B8" s="51" t="s">
        <v>53</v>
      </c>
      <c r="C8" s="27">
        <f>23+45</f>
        <v>68</v>
      </c>
      <c r="D8" s="1">
        <v>85</v>
      </c>
      <c r="E8" s="28">
        <f t="shared" ref="E8:E14" si="3">C8-D8</f>
        <v>-17</v>
      </c>
      <c r="F8" s="29">
        <f>C8/$H$7</f>
        <v>1.2223620348732698E-2</v>
      </c>
      <c r="G8" s="30">
        <v>1.5449438202247199E-2</v>
      </c>
      <c r="H8" s="27">
        <v>57</v>
      </c>
      <c r="I8" s="1">
        <v>85</v>
      </c>
      <c r="J8" s="28">
        <f t="shared" ref="J8:J14" si="4">H8-I8</f>
        <v>-28</v>
      </c>
      <c r="K8" s="29">
        <f>H8/$H$7</f>
        <v>1.0246269998202408E-2</v>
      </c>
      <c r="L8" s="30">
        <v>1.5449438202247199E-2</v>
      </c>
      <c r="M8" s="27">
        <v>46</v>
      </c>
      <c r="N8" s="1">
        <v>82.5</v>
      </c>
      <c r="O8" s="28">
        <v>-36.5</v>
      </c>
      <c r="P8" s="29">
        <v>8.4980602253833405E-3</v>
      </c>
      <c r="Q8" s="30">
        <v>1.5449438202247199E-2</v>
      </c>
      <c r="R8" s="27">
        <v>70</v>
      </c>
      <c r="S8" s="1">
        <v>85.25</v>
      </c>
      <c r="T8" s="28">
        <v>-15.25</v>
      </c>
      <c r="U8" s="29">
        <v>1.31628431741256E-2</v>
      </c>
      <c r="V8" s="30">
        <v>1.5449438202247199E-2</v>
      </c>
      <c r="W8" s="27">
        <v>100</v>
      </c>
      <c r="X8" s="1">
        <v>82.5</v>
      </c>
      <c r="Y8" s="31">
        <v>17.5</v>
      </c>
      <c r="Z8" s="29">
        <v>1.7982377270275102E-2</v>
      </c>
      <c r="AA8" s="30">
        <v>1.5449438202247199E-2</v>
      </c>
      <c r="AB8" s="27">
        <v>140</v>
      </c>
      <c r="AC8" s="1">
        <v>85.25</v>
      </c>
      <c r="AD8" s="31">
        <v>54.75</v>
      </c>
      <c r="AE8" s="29">
        <v>2.4691358024691398E-2</v>
      </c>
      <c r="AF8" s="30">
        <v>1.5449438202247199E-2</v>
      </c>
      <c r="AG8" s="27">
        <v>129</v>
      </c>
      <c r="AH8" s="1">
        <v>79.75</v>
      </c>
      <c r="AI8" s="31">
        <v>49.25</v>
      </c>
      <c r="AJ8" s="29">
        <v>2.43948562783661E-2</v>
      </c>
      <c r="AK8" s="30">
        <v>1.5449438202247199E-2</v>
      </c>
      <c r="AL8" s="27">
        <v>124</v>
      </c>
      <c r="AM8" s="1">
        <v>85.25</v>
      </c>
      <c r="AN8" s="31">
        <v>38.75</v>
      </c>
      <c r="AO8" s="29">
        <v>2.30269266480966E-2</v>
      </c>
      <c r="AP8" s="30">
        <v>1.5449438202247199E-2</v>
      </c>
      <c r="AQ8" s="22">
        <f t="shared" si="0"/>
        <v>734</v>
      </c>
      <c r="AR8" s="23">
        <f t="shared" si="1"/>
        <v>670.5</v>
      </c>
      <c r="AS8" s="44">
        <f t="shared" si="2"/>
        <v>63.5</v>
      </c>
      <c r="AT8" s="63">
        <f>AQ8/AQ7</f>
        <v>1.6766412353236785E-2</v>
      </c>
      <c r="AU8" s="52"/>
      <c r="AW8" s="72"/>
      <c r="AX8" s="72"/>
      <c r="AY8" s="73" t="s">
        <v>40</v>
      </c>
      <c r="AZ8" s="74" t="s">
        <v>69</v>
      </c>
      <c r="BA8" s="73" t="s">
        <v>40</v>
      </c>
      <c r="BB8" s="75" t="s">
        <v>69</v>
      </c>
      <c r="BC8" s="52"/>
      <c r="BE8" s="73" t="s">
        <v>40</v>
      </c>
      <c r="BF8" s="74" t="s">
        <v>69</v>
      </c>
      <c r="BG8" s="73" t="s">
        <v>40</v>
      </c>
      <c r="BH8" s="75" t="s">
        <v>69</v>
      </c>
      <c r="BI8" s="122"/>
      <c r="BJ8" s="72"/>
      <c r="BK8" s="73" t="s">
        <v>40</v>
      </c>
      <c r="BL8" s="74" t="s">
        <v>69</v>
      </c>
      <c r="BM8" s="73" t="s">
        <v>40</v>
      </c>
      <c r="BN8" s="75" t="s">
        <v>69</v>
      </c>
      <c r="BO8" s="122"/>
      <c r="BP8" s="72"/>
      <c r="BQ8" s="73" t="s">
        <v>40</v>
      </c>
      <c r="BR8" s="74" t="s">
        <v>69</v>
      </c>
      <c r="BS8" s="73" t="s">
        <v>40</v>
      </c>
      <c r="BT8" s="75" t="s">
        <v>69</v>
      </c>
    </row>
    <row r="9" spans="1:75" x14ac:dyDescent="0.2">
      <c r="A9" s="129" t="s">
        <v>19</v>
      </c>
      <c r="B9" s="51" t="s">
        <v>52</v>
      </c>
      <c r="C9" s="27">
        <f>19+7+12+23+2</f>
        <v>63</v>
      </c>
      <c r="D9" s="1">
        <v>57</v>
      </c>
      <c r="E9" s="28">
        <f t="shared" si="3"/>
        <v>6</v>
      </c>
      <c r="F9" s="29">
        <f t="shared" ref="F9:F14" si="5">C9/$H$7</f>
        <v>1.1324824734855294E-2</v>
      </c>
      <c r="G9" s="30">
        <v>1.03370786516854E-2</v>
      </c>
      <c r="H9" s="27">
        <v>28</v>
      </c>
      <c r="I9" s="1">
        <v>57</v>
      </c>
      <c r="J9" s="28">
        <f t="shared" si="4"/>
        <v>-29</v>
      </c>
      <c r="K9" s="29">
        <f t="shared" ref="K9:K14" si="6">H9/$H$7</f>
        <v>5.0332554377134639E-3</v>
      </c>
      <c r="L9" s="30">
        <v>1.03370786516854E-2</v>
      </c>
      <c r="M9" s="27">
        <v>84</v>
      </c>
      <c r="N9" s="1">
        <v>55.2</v>
      </c>
      <c r="O9" s="31">
        <v>18.8</v>
      </c>
      <c r="P9" s="29">
        <v>1.36707925364862E-2</v>
      </c>
      <c r="Q9" s="30">
        <v>1.03370786516854E-2</v>
      </c>
      <c r="R9" s="27">
        <v>106</v>
      </c>
      <c r="S9" s="1">
        <v>57.04</v>
      </c>
      <c r="T9" s="31">
        <v>48.96</v>
      </c>
      <c r="U9" s="29">
        <v>1.99323053779616E-2</v>
      </c>
      <c r="V9" s="30">
        <v>1.03370786516854E-2</v>
      </c>
      <c r="W9" s="27">
        <v>164</v>
      </c>
      <c r="X9" s="1">
        <v>55.2</v>
      </c>
      <c r="Y9" s="31">
        <v>108.8</v>
      </c>
      <c r="Z9" s="29">
        <v>2.9491098723251199E-2</v>
      </c>
      <c r="AA9" s="30">
        <v>1.03370786516854E-2</v>
      </c>
      <c r="AB9" s="27">
        <v>143</v>
      </c>
      <c r="AC9" s="1">
        <v>57.04</v>
      </c>
      <c r="AD9" s="31">
        <v>85.96</v>
      </c>
      <c r="AE9" s="29">
        <v>2.5220458553791899E-2</v>
      </c>
      <c r="AF9" s="30">
        <v>1.03370786516854E-2</v>
      </c>
      <c r="AG9" s="27">
        <v>74</v>
      </c>
      <c r="AH9" s="1">
        <v>53.36</v>
      </c>
      <c r="AI9" s="31">
        <v>20.64</v>
      </c>
      <c r="AJ9" s="29">
        <v>1.3993948562783701E-2</v>
      </c>
      <c r="AK9" s="30">
        <v>1.03370786516854E-2</v>
      </c>
      <c r="AL9" s="27">
        <v>41</v>
      </c>
      <c r="AM9" s="1">
        <v>57.04</v>
      </c>
      <c r="AN9" s="28">
        <v>-16.04</v>
      </c>
      <c r="AO9" s="29">
        <v>7.6137418755803203E-3</v>
      </c>
      <c r="AP9" s="30">
        <v>1.03370786516854E-2</v>
      </c>
      <c r="AQ9" s="22">
        <f t="shared" si="0"/>
        <v>703</v>
      </c>
      <c r="AR9" s="23">
        <f t="shared" si="1"/>
        <v>448.88</v>
      </c>
      <c r="AS9" s="44">
        <f t="shared" si="2"/>
        <v>254.12</v>
      </c>
      <c r="AT9" s="63">
        <f>AQ9/AQ7</f>
        <v>1.6058294120334413E-2</v>
      </c>
      <c r="AU9" s="52"/>
      <c r="AW9" s="72"/>
      <c r="AX9" s="72" t="s">
        <v>53</v>
      </c>
      <c r="AY9" s="76">
        <f t="shared" ref="AY9:AZ15" si="7">BK98</f>
        <v>734</v>
      </c>
      <c r="AZ9" s="77">
        <f t="shared" si="7"/>
        <v>670.5</v>
      </c>
      <c r="BA9" s="78">
        <f>AY9/AY16</f>
        <v>5.9861193798576053E-3</v>
      </c>
      <c r="BB9" s="79">
        <f>AZ9/AZ16</f>
        <v>5.4125973298821866E-3</v>
      </c>
      <c r="BC9" s="86"/>
      <c r="BD9" t="s">
        <v>53</v>
      </c>
      <c r="BE9" s="76">
        <f t="shared" ref="BE9:BF15" si="8">AB8+AG8+AL8</f>
        <v>393</v>
      </c>
      <c r="BF9" s="77">
        <f t="shared" si="8"/>
        <v>250.25</v>
      </c>
      <c r="BG9" s="78">
        <f>BE9/BE16</f>
        <v>2.4046992596218564E-2</v>
      </c>
      <c r="BH9" s="79">
        <f>BF9/BF16</f>
        <v>1.5449438202247191E-2</v>
      </c>
      <c r="BI9" s="122"/>
      <c r="BJ9" s="72" t="s">
        <v>53</v>
      </c>
      <c r="BK9" s="76">
        <f t="shared" ref="BK9:BL15" si="9">M8+R8+W8</f>
        <v>216</v>
      </c>
      <c r="BL9" s="77">
        <f t="shared" si="9"/>
        <v>250.25</v>
      </c>
      <c r="BM9" s="78">
        <f>BK9/BK16</f>
        <v>1.3265368789535098E-2</v>
      </c>
      <c r="BN9" s="79">
        <f>BL9/BL16</f>
        <v>1.5449438202247191E-2</v>
      </c>
      <c r="BO9" s="122"/>
      <c r="BP9" s="72" t="s">
        <v>53</v>
      </c>
      <c r="BQ9" s="76">
        <f t="shared" ref="BQ9:BR15" si="10">C8+H8</f>
        <v>125</v>
      </c>
      <c r="BR9" s="77">
        <f t="shared" si="10"/>
        <v>170</v>
      </c>
      <c r="BS9" s="78">
        <f>BQ9/BQ16</f>
        <v>1.1208751793400288E-2</v>
      </c>
      <c r="BT9" s="79">
        <f>BR9/BR16</f>
        <v>1.5404131931859369E-2</v>
      </c>
      <c r="BW9" s="1">
        <f>BE9+BK9+BQ9</f>
        <v>734</v>
      </c>
    </row>
    <row r="10" spans="1:75" x14ac:dyDescent="0.2">
      <c r="A10" s="129" t="s">
        <v>19</v>
      </c>
      <c r="B10" s="51" t="s">
        <v>51</v>
      </c>
      <c r="C10" s="27">
        <f>2509+1</f>
        <v>2510</v>
      </c>
      <c r="D10" s="1">
        <v>2848</v>
      </c>
      <c r="E10" s="28">
        <f t="shared" si="3"/>
        <v>-338</v>
      </c>
      <c r="F10" s="29">
        <f t="shared" si="5"/>
        <v>0.45119539816645693</v>
      </c>
      <c r="G10" s="30">
        <v>0.51617977528089898</v>
      </c>
      <c r="H10" s="27">
        <v>2511</v>
      </c>
      <c r="I10" s="1">
        <v>2848</v>
      </c>
      <c r="J10" s="28">
        <f t="shared" si="4"/>
        <v>-337</v>
      </c>
      <c r="K10" s="29">
        <f t="shared" si="6"/>
        <v>0.45137515728923244</v>
      </c>
      <c r="L10" s="30">
        <v>0.51617977528089898</v>
      </c>
      <c r="M10" s="27">
        <v>2343</v>
      </c>
      <c r="N10" s="1">
        <v>2756.4</v>
      </c>
      <c r="O10" s="28">
        <v>-522.40000000000202</v>
      </c>
      <c r="P10" s="29">
        <v>0.41271014225013902</v>
      </c>
      <c r="Q10" s="30">
        <v>0.51617977528089898</v>
      </c>
      <c r="R10" s="27">
        <v>2392</v>
      </c>
      <c r="S10" s="1">
        <v>2848.28</v>
      </c>
      <c r="T10" s="28">
        <v>-518.28000000000202</v>
      </c>
      <c r="U10" s="29">
        <v>0.43813463708160999</v>
      </c>
      <c r="V10" s="30">
        <v>0.51617977528089898</v>
      </c>
      <c r="W10" s="27">
        <v>2156</v>
      </c>
      <c r="X10" s="1">
        <v>2757</v>
      </c>
      <c r="Y10" s="28">
        <v>-601.00000000000102</v>
      </c>
      <c r="Z10" s="29">
        <v>0.38770005394713197</v>
      </c>
      <c r="AA10" s="30">
        <v>0.51629213483146097</v>
      </c>
      <c r="AB10" s="27">
        <v>2234</v>
      </c>
      <c r="AC10" s="1">
        <v>2848.9</v>
      </c>
      <c r="AD10" s="28">
        <v>-614.900000000001</v>
      </c>
      <c r="AE10" s="29">
        <v>0.394003527336861</v>
      </c>
      <c r="AF10" s="30">
        <v>0.51629213483146097</v>
      </c>
      <c r="AG10" s="27">
        <v>2068</v>
      </c>
      <c r="AH10" s="1">
        <v>2665.1</v>
      </c>
      <c r="AI10" s="28">
        <v>-597.10000000000105</v>
      </c>
      <c r="AJ10" s="29">
        <v>0.39107413010589998</v>
      </c>
      <c r="AK10" s="30">
        <v>0.51629213483146097</v>
      </c>
      <c r="AL10" s="27">
        <v>2181</v>
      </c>
      <c r="AM10" s="1">
        <v>2820.69</v>
      </c>
      <c r="AN10" s="28">
        <v>-639.68999999999801</v>
      </c>
      <c r="AO10" s="29">
        <v>0.40501392757660198</v>
      </c>
      <c r="AP10" s="30">
        <v>0.51117977528089897</v>
      </c>
      <c r="AQ10" s="22">
        <f t="shared" si="0"/>
        <v>18395</v>
      </c>
      <c r="AR10" s="23">
        <f t="shared" si="1"/>
        <v>22392.37</v>
      </c>
      <c r="AS10" s="44">
        <f t="shared" si="2"/>
        <v>-3997.369999999999</v>
      </c>
      <c r="AT10" s="63">
        <f>AQ10/AQ7</f>
        <v>0.42018822239481018</v>
      </c>
      <c r="AU10" s="52"/>
      <c r="AW10" s="72"/>
      <c r="AX10" s="72" t="s">
        <v>52</v>
      </c>
      <c r="AY10" s="76">
        <f t="shared" si="7"/>
        <v>1355</v>
      </c>
      <c r="AZ10" s="77">
        <f t="shared" si="7"/>
        <v>1352.28</v>
      </c>
      <c r="BA10" s="78">
        <f>AY10/AY16</f>
        <v>1.1050669972352937E-2</v>
      </c>
      <c r="BB10" s="79">
        <f>AZ10/AZ16</f>
        <v>1.0916252225582526E-2</v>
      </c>
      <c r="BC10" s="86"/>
      <c r="BD10" t="s">
        <v>52</v>
      </c>
      <c r="BE10" s="76">
        <f t="shared" si="8"/>
        <v>258</v>
      </c>
      <c r="BF10" s="77">
        <f t="shared" si="8"/>
        <v>167.44</v>
      </c>
      <c r="BG10" s="78">
        <f>BE10/BE16</f>
        <v>1.5786575292174018E-2</v>
      </c>
      <c r="BH10" s="79">
        <f>BF10/BF16</f>
        <v>1.0337078651685393E-2</v>
      </c>
      <c r="BI10" s="122"/>
      <c r="BJ10" s="72" t="s">
        <v>52</v>
      </c>
      <c r="BK10" s="76">
        <f t="shared" si="9"/>
        <v>354</v>
      </c>
      <c r="BL10" s="77">
        <f t="shared" si="9"/>
        <v>167.44</v>
      </c>
      <c r="BM10" s="78">
        <f>BK10/BK16</f>
        <v>2.1740465516182521E-2</v>
      </c>
      <c r="BN10" s="79">
        <f>BL10/BL16</f>
        <v>1.0337078651685393E-2</v>
      </c>
      <c r="BO10" s="122"/>
      <c r="BP10" s="72" t="s">
        <v>52</v>
      </c>
      <c r="BQ10" s="76">
        <f t="shared" si="10"/>
        <v>91</v>
      </c>
      <c r="BR10" s="77">
        <f t="shared" si="10"/>
        <v>114</v>
      </c>
      <c r="BS10" s="78">
        <f>BQ10/BQ16</f>
        <v>8.1599713055954086E-3</v>
      </c>
      <c r="BT10" s="79">
        <f>BR10/BR16</f>
        <v>1.0329829648423342E-2</v>
      </c>
      <c r="BW10" s="1">
        <f t="shared" ref="BW10:BW16" si="11">BE10+BK10+BQ10</f>
        <v>703</v>
      </c>
    </row>
    <row r="11" spans="1:75" x14ac:dyDescent="0.2">
      <c r="A11" s="129" t="s">
        <v>19</v>
      </c>
      <c r="B11" s="51" t="s">
        <v>50</v>
      </c>
      <c r="C11" s="27">
        <v>155</v>
      </c>
      <c r="D11" s="1">
        <v>0</v>
      </c>
      <c r="E11" s="69">
        <f t="shared" si="3"/>
        <v>155</v>
      </c>
      <c r="F11" s="29">
        <f t="shared" si="5"/>
        <v>2.7862664030199533E-2</v>
      </c>
      <c r="G11" s="30">
        <v>0</v>
      </c>
      <c r="H11" s="27">
        <v>201</v>
      </c>
      <c r="I11" s="1">
        <v>0</v>
      </c>
      <c r="J11" s="69">
        <f t="shared" si="4"/>
        <v>201</v>
      </c>
      <c r="K11" s="29">
        <f t="shared" si="6"/>
        <v>3.613158367787165E-2</v>
      </c>
      <c r="L11" s="30">
        <v>0</v>
      </c>
      <c r="M11" s="27">
        <v>126</v>
      </c>
      <c r="N11" s="1">
        <v>0</v>
      </c>
      <c r="O11" s="31">
        <v>236</v>
      </c>
      <c r="P11" s="29">
        <v>4.3598743765010203E-2</v>
      </c>
      <c r="Q11" s="30">
        <v>0</v>
      </c>
      <c r="R11" s="27">
        <v>85</v>
      </c>
      <c r="S11" s="1">
        <v>0</v>
      </c>
      <c r="T11" s="31">
        <v>147</v>
      </c>
      <c r="U11" s="29">
        <v>2.76419706656638E-2</v>
      </c>
      <c r="V11" s="30">
        <v>0</v>
      </c>
      <c r="W11" s="27">
        <v>0</v>
      </c>
      <c r="X11" s="1">
        <v>0</v>
      </c>
      <c r="Y11" s="31">
        <v>0</v>
      </c>
      <c r="Z11" s="29">
        <v>0</v>
      </c>
      <c r="AA11" s="30">
        <v>0</v>
      </c>
      <c r="AB11" s="27">
        <v>0</v>
      </c>
      <c r="AC11" s="1">
        <v>0</v>
      </c>
      <c r="AD11" s="31">
        <v>0</v>
      </c>
      <c r="AE11" s="29">
        <v>0</v>
      </c>
      <c r="AF11" s="30">
        <v>0</v>
      </c>
      <c r="AG11" s="27">
        <v>0</v>
      </c>
      <c r="AH11" s="1">
        <v>0</v>
      </c>
      <c r="AI11" s="31">
        <v>0</v>
      </c>
      <c r="AJ11" s="29">
        <v>0</v>
      </c>
      <c r="AK11" s="30">
        <v>0</v>
      </c>
      <c r="AL11" s="27">
        <v>0</v>
      </c>
      <c r="AM11" s="1">
        <v>0</v>
      </c>
      <c r="AN11" s="31">
        <v>0</v>
      </c>
      <c r="AO11" s="29">
        <v>0</v>
      </c>
      <c r="AP11" s="30">
        <v>0</v>
      </c>
      <c r="AQ11" s="22">
        <f t="shared" si="0"/>
        <v>567</v>
      </c>
      <c r="AR11" s="23">
        <f t="shared" si="1"/>
        <v>0</v>
      </c>
      <c r="AS11" s="44">
        <f t="shared" si="2"/>
        <v>567</v>
      </c>
      <c r="AT11" s="63">
        <f>AQ11/AQ7</f>
        <v>1.2951710905020787E-2</v>
      </c>
      <c r="AU11" s="52"/>
      <c r="AW11" s="72"/>
      <c r="AX11" s="72" t="s">
        <v>51</v>
      </c>
      <c r="AY11" s="76">
        <f t="shared" si="7"/>
        <v>53313</v>
      </c>
      <c r="AZ11" s="77">
        <f t="shared" si="7"/>
        <v>58322.69</v>
      </c>
      <c r="BA11" s="78">
        <f>AY11/AY16</f>
        <v>0.43479289168712332</v>
      </c>
      <c r="BB11" s="79">
        <f>AZ11/AZ16</f>
        <v>0.47080870419917453</v>
      </c>
      <c r="BC11" s="86"/>
      <c r="BD11" t="s">
        <v>51</v>
      </c>
      <c r="BE11" s="76">
        <f t="shared" si="8"/>
        <v>6483</v>
      </c>
      <c r="BF11" s="77">
        <f t="shared" si="8"/>
        <v>8334.69</v>
      </c>
      <c r="BG11" s="78">
        <f>BE11/BE16</f>
        <v>0.39668359542311693</v>
      </c>
      <c r="BH11" s="79">
        <f>BF11/BF16</f>
        <v>0.51455056179775283</v>
      </c>
      <c r="BI11" s="122"/>
      <c r="BJ11" s="72" t="s">
        <v>51</v>
      </c>
      <c r="BK11" s="76">
        <f t="shared" si="9"/>
        <v>6891</v>
      </c>
      <c r="BL11" s="77">
        <f t="shared" si="9"/>
        <v>8361.68</v>
      </c>
      <c r="BM11" s="78">
        <f>BK11/BK16</f>
        <v>0.42320211263280721</v>
      </c>
      <c r="BN11" s="79">
        <f>BL11/BL16</f>
        <v>0.51621681689097421</v>
      </c>
      <c r="BO11" s="122"/>
      <c r="BP11" s="72" t="s">
        <v>51</v>
      </c>
      <c r="BQ11" s="76">
        <f t="shared" si="10"/>
        <v>5021</v>
      </c>
      <c r="BR11" s="77">
        <f t="shared" si="10"/>
        <v>5696</v>
      </c>
      <c r="BS11" s="78">
        <f>BQ11/BQ16</f>
        <v>0.45023314203730275</v>
      </c>
      <c r="BT11" s="79">
        <f>BR11/BR16</f>
        <v>0.5161290322580645</v>
      </c>
      <c r="BW11" s="1">
        <f t="shared" si="11"/>
        <v>18395</v>
      </c>
    </row>
    <row r="12" spans="1:75" x14ac:dyDescent="0.2">
      <c r="A12" s="129" t="s">
        <v>19</v>
      </c>
      <c r="B12" s="51" t="s">
        <v>49</v>
      </c>
      <c r="C12" s="27">
        <f>42+6+31+33+32+30+13</f>
        <v>187</v>
      </c>
      <c r="D12" s="1">
        <v>221</v>
      </c>
      <c r="E12" s="69">
        <f t="shared" si="3"/>
        <v>-34</v>
      </c>
      <c r="F12" s="29">
        <f t="shared" si="5"/>
        <v>3.3614955959014918E-2</v>
      </c>
      <c r="G12" s="30">
        <v>0.04</v>
      </c>
      <c r="H12" s="27">
        <v>410</v>
      </c>
      <c r="I12" s="1">
        <v>221</v>
      </c>
      <c r="J12" s="69">
        <f t="shared" si="4"/>
        <v>189</v>
      </c>
      <c r="K12" s="29">
        <f t="shared" si="6"/>
        <v>7.3701240337947158E-2</v>
      </c>
      <c r="L12" s="30">
        <v>0.04</v>
      </c>
      <c r="M12" s="27">
        <v>399</v>
      </c>
      <c r="N12" s="1">
        <v>213.6</v>
      </c>
      <c r="O12" s="31">
        <v>194.4</v>
      </c>
      <c r="P12" s="29">
        <v>7.5374099390356594E-2</v>
      </c>
      <c r="Q12" s="30">
        <v>0.04</v>
      </c>
      <c r="R12" s="27">
        <v>350</v>
      </c>
      <c r="S12" s="1">
        <v>220.72</v>
      </c>
      <c r="T12" s="31">
        <v>129.28</v>
      </c>
      <c r="U12" s="29">
        <v>6.5814215870628107E-2</v>
      </c>
      <c r="V12" s="30">
        <v>0.04</v>
      </c>
      <c r="W12" s="27">
        <v>464</v>
      </c>
      <c r="X12" s="1">
        <v>216.6</v>
      </c>
      <c r="Y12" s="31">
        <v>247.4</v>
      </c>
      <c r="Z12" s="29">
        <v>8.3438230534076605E-2</v>
      </c>
      <c r="AA12" s="30">
        <v>4.0561797752808999E-2</v>
      </c>
      <c r="AB12" s="27">
        <v>459</v>
      </c>
      <c r="AC12" s="1">
        <v>226.92</v>
      </c>
      <c r="AD12" s="31">
        <v>232.08</v>
      </c>
      <c r="AE12" s="29">
        <v>8.0952380952380998E-2</v>
      </c>
      <c r="AF12" s="30">
        <v>4.1123595505617901E-2</v>
      </c>
      <c r="AG12" s="27">
        <v>406</v>
      </c>
      <c r="AH12" s="1">
        <v>215.18</v>
      </c>
      <c r="AI12" s="31">
        <v>190.82</v>
      </c>
      <c r="AJ12" s="29">
        <v>7.6777609682299505E-2</v>
      </c>
      <c r="AK12" s="30">
        <v>4.1685393258426899E-2</v>
      </c>
      <c r="AL12" s="27">
        <v>391</v>
      </c>
      <c r="AM12" s="1">
        <v>233.12</v>
      </c>
      <c r="AN12" s="31">
        <v>157.88</v>
      </c>
      <c r="AO12" s="29">
        <v>7.2609099350046405E-2</v>
      </c>
      <c r="AP12" s="30">
        <v>4.2247191011236002E-2</v>
      </c>
      <c r="AQ12" s="22">
        <f t="shared" si="0"/>
        <v>3066</v>
      </c>
      <c r="AR12" s="23">
        <f t="shared" si="1"/>
        <v>1768.1399999999999</v>
      </c>
      <c r="AS12" s="44">
        <f t="shared" si="2"/>
        <v>1297.8600000000001</v>
      </c>
      <c r="AT12" s="63">
        <f>AQ12/AQ7</f>
        <v>7.0035177486408695E-2</v>
      </c>
      <c r="AU12" s="52"/>
      <c r="AW12" s="72"/>
      <c r="AX12" s="72" t="s">
        <v>50</v>
      </c>
      <c r="AY12" s="76">
        <f t="shared" si="7"/>
        <v>1958</v>
      </c>
      <c r="AZ12" s="77">
        <f t="shared" si="7"/>
        <v>0</v>
      </c>
      <c r="BA12" s="78">
        <f>AY12/AY16</f>
        <v>1.5968421996949853E-2</v>
      </c>
      <c r="BB12" s="79">
        <f>AZ12/AZ16</f>
        <v>0</v>
      </c>
      <c r="BC12" s="86"/>
      <c r="BD12" t="s">
        <v>50</v>
      </c>
      <c r="BE12" s="76">
        <f t="shared" si="8"/>
        <v>0</v>
      </c>
      <c r="BF12" s="77">
        <f t="shared" si="8"/>
        <v>0</v>
      </c>
      <c r="BG12" s="78">
        <f>BE12/BE16</f>
        <v>0</v>
      </c>
      <c r="BH12" s="79">
        <f>BF12/BF16</f>
        <v>0</v>
      </c>
      <c r="BI12" s="122"/>
      <c r="BJ12" s="72" t="s">
        <v>50</v>
      </c>
      <c r="BK12" s="76">
        <f t="shared" si="9"/>
        <v>211</v>
      </c>
      <c r="BL12" s="77">
        <f t="shared" si="9"/>
        <v>0</v>
      </c>
      <c r="BM12" s="78">
        <f>BK12/BK16</f>
        <v>1.2958300067555118E-2</v>
      </c>
      <c r="BN12" s="79">
        <f>BL12/BL16</f>
        <v>0</v>
      </c>
      <c r="BO12" s="122"/>
      <c r="BP12" s="72" t="s">
        <v>50</v>
      </c>
      <c r="BQ12" s="76">
        <f t="shared" si="10"/>
        <v>356</v>
      </c>
      <c r="BR12" s="77">
        <f t="shared" si="10"/>
        <v>0</v>
      </c>
      <c r="BS12" s="78">
        <f>BQ12/BQ16</f>
        <v>3.1922525107604016E-2</v>
      </c>
      <c r="BT12" s="79">
        <f>BR12/BR16</f>
        <v>0</v>
      </c>
      <c r="BW12" s="1">
        <f t="shared" si="11"/>
        <v>567</v>
      </c>
    </row>
    <row r="13" spans="1:75" x14ac:dyDescent="0.2">
      <c r="A13" s="129" t="s">
        <v>19</v>
      </c>
      <c r="B13" s="51" t="s">
        <v>48</v>
      </c>
      <c r="C13" s="27">
        <f>277+1045</f>
        <v>1322</v>
      </c>
      <c r="D13" s="1">
        <v>883</v>
      </c>
      <c r="E13" s="69">
        <f t="shared" si="3"/>
        <v>439</v>
      </c>
      <c r="F13" s="29">
        <f t="shared" si="5"/>
        <v>0.23764156030918568</v>
      </c>
      <c r="G13" s="30">
        <v>0.16</v>
      </c>
      <c r="H13" s="27">
        <v>1088</v>
      </c>
      <c r="I13" s="1">
        <v>883</v>
      </c>
      <c r="J13" s="69">
        <f t="shared" si="4"/>
        <v>205</v>
      </c>
      <c r="K13" s="29">
        <f t="shared" si="6"/>
        <v>0.19557792557972317</v>
      </c>
      <c r="L13" s="30">
        <v>0.16</v>
      </c>
      <c r="M13" s="27">
        <v>1192</v>
      </c>
      <c r="N13" s="1">
        <v>854.4</v>
      </c>
      <c r="O13" s="31">
        <v>346.6</v>
      </c>
      <c r="P13" s="29">
        <v>0.22187326805837801</v>
      </c>
      <c r="Q13" s="30">
        <v>0.16</v>
      </c>
      <c r="R13" s="27">
        <v>1072</v>
      </c>
      <c r="S13" s="1">
        <v>882.88</v>
      </c>
      <c r="T13" s="31">
        <v>189.12</v>
      </c>
      <c r="U13" s="29">
        <v>0.20157954118089499</v>
      </c>
      <c r="V13" s="30">
        <v>0.16</v>
      </c>
      <c r="W13" s="27">
        <v>1361</v>
      </c>
      <c r="X13" s="1">
        <v>866.4</v>
      </c>
      <c r="Y13" s="31">
        <v>494.6</v>
      </c>
      <c r="Z13" s="29">
        <v>0.24474015464844501</v>
      </c>
      <c r="AA13" s="30">
        <v>0.162247191011236</v>
      </c>
      <c r="AB13" s="27">
        <v>1444</v>
      </c>
      <c r="AC13" s="1">
        <v>907.67999999999904</v>
      </c>
      <c r="AD13" s="31">
        <v>536.32000000000096</v>
      </c>
      <c r="AE13" s="29">
        <v>0.25467372134038802</v>
      </c>
      <c r="AF13" s="30">
        <v>0.16449438202247199</v>
      </c>
      <c r="AG13" s="27">
        <v>1422</v>
      </c>
      <c r="AH13" s="1">
        <v>860.719999999999</v>
      </c>
      <c r="AI13" s="31">
        <v>561.280000000001</v>
      </c>
      <c r="AJ13" s="29">
        <v>0.26891074130105902</v>
      </c>
      <c r="AK13" s="30">
        <v>0.16674157303370801</v>
      </c>
      <c r="AL13" s="27">
        <v>1300</v>
      </c>
      <c r="AM13" s="1">
        <v>942.400000000001</v>
      </c>
      <c r="AN13" s="31">
        <v>357.599999999999</v>
      </c>
      <c r="AO13" s="29">
        <v>0.24141132776230301</v>
      </c>
      <c r="AP13" s="30">
        <v>0.17078651685393301</v>
      </c>
      <c r="AQ13" s="22">
        <f t="shared" si="0"/>
        <v>10201</v>
      </c>
      <c r="AR13" s="23">
        <f t="shared" si="1"/>
        <v>7080.48</v>
      </c>
      <c r="AS13" s="44">
        <f t="shared" si="2"/>
        <v>3120.5200000000004</v>
      </c>
      <c r="AT13" s="63">
        <f>AQ13/AQ7</f>
        <v>0.2330165836721641</v>
      </c>
      <c r="AU13" s="52"/>
      <c r="AW13" s="72"/>
      <c r="AX13" s="72" t="s">
        <v>49</v>
      </c>
      <c r="AY13" s="76">
        <f t="shared" si="7"/>
        <v>6941</v>
      </c>
      <c r="AZ13" s="77">
        <f t="shared" si="7"/>
        <v>6033.5</v>
      </c>
      <c r="BA13" s="78">
        <f>AY13/AY16</f>
        <v>5.6607158876827844E-2</v>
      </c>
      <c r="BB13" s="79">
        <f>AZ13/AZ16</f>
        <v>4.870530348970048E-2</v>
      </c>
      <c r="BC13" s="86"/>
      <c r="BD13" t="s">
        <v>49</v>
      </c>
      <c r="BE13" s="76">
        <f t="shared" si="8"/>
        <v>1256</v>
      </c>
      <c r="BF13" s="77">
        <f t="shared" si="8"/>
        <v>675.22</v>
      </c>
      <c r="BG13" s="78">
        <f>BE13/BE16</f>
        <v>7.6852475065777401E-2</v>
      </c>
      <c r="BH13" s="79">
        <f>BF13/BF16</f>
        <v>4.1685393258426968E-2</v>
      </c>
      <c r="BI13" s="122"/>
      <c r="BJ13" s="72" t="s">
        <v>49</v>
      </c>
      <c r="BK13" s="76">
        <f t="shared" si="9"/>
        <v>1213</v>
      </c>
      <c r="BL13" s="77">
        <f t="shared" si="9"/>
        <v>650.91999999999996</v>
      </c>
      <c r="BM13" s="78">
        <f>BK13/BK16</f>
        <v>7.4494871952342931E-2</v>
      </c>
      <c r="BN13" s="79">
        <f>BL13/BL16</f>
        <v>4.0185208050376585E-2</v>
      </c>
      <c r="BO13" s="122"/>
      <c r="BP13" s="72" t="s">
        <v>49</v>
      </c>
      <c r="BQ13" s="76">
        <f t="shared" si="10"/>
        <v>597</v>
      </c>
      <c r="BR13" s="77">
        <f t="shared" si="10"/>
        <v>442</v>
      </c>
      <c r="BS13" s="78">
        <f>BQ13/BQ16</f>
        <v>5.3532998565279773E-2</v>
      </c>
      <c r="BT13" s="79">
        <f>BR13/BR16</f>
        <v>4.0050743022834359E-2</v>
      </c>
      <c r="BW13" s="1">
        <f t="shared" si="11"/>
        <v>3066</v>
      </c>
    </row>
    <row r="14" spans="1:75" ht="13.5" thickBot="1" x14ac:dyDescent="0.25">
      <c r="A14" s="126" t="s">
        <v>19</v>
      </c>
      <c r="B14" s="53" t="s">
        <v>47</v>
      </c>
      <c r="C14" s="32">
        <f>1219+65</f>
        <v>1284</v>
      </c>
      <c r="D14" s="33">
        <v>1424</v>
      </c>
      <c r="E14" s="28">
        <f t="shared" si="3"/>
        <v>-140</v>
      </c>
      <c r="F14" s="29">
        <f t="shared" si="5"/>
        <v>0.23081071364371741</v>
      </c>
      <c r="G14" s="36">
        <v>0.25803370786516799</v>
      </c>
      <c r="H14" s="32">
        <v>1268</v>
      </c>
      <c r="I14" s="33">
        <v>1424</v>
      </c>
      <c r="J14" s="28">
        <f t="shared" si="4"/>
        <v>-156</v>
      </c>
      <c r="K14" s="29">
        <f t="shared" si="6"/>
        <v>0.22793456767930972</v>
      </c>
      <c r="L14" s="36">
        <v>0.25803370786516799</v>
      </c>
      <c r="M14" s="32">
        <v>1214</v>
      </c>
      <c r="N14" s="33">
        <v>1377.9</v>
      </c>
      <c r="O14" s="34">
        <v>-163.9</v>
      </c>
      <c r="P14" s="35">
        <v>0.224274893774247</v>
      </c>
      <c r="Q14" s="36">
        <v>0.25803370786516799</v>
      </c>
      <c r="R14" s="32">
        <v>1243</v>
      </c>
      <c r="S14" s="33">
        <v>1423.83</v>
      </c>
      <c r="T14" s="34">
        <v>-180.83</v>
      </c>
      <c r="U14" s="35">
        <v>0.233734486649116</v>
      </c>
      <c r="V14" s="36">
        <v>0.25803370786516899</v>
      </c>
      <c r="W14" s="32">
        <v>1316</v>
      </c>
      <c r="X14" s="33">
        <v>1362.3</v>
      </c>
      <c r="Y14" s="34">
        <v>-46.300000000000203</v>
      </c>
      <c r="Z14" s="35">
        <v>0.23664808487682101</v>
      </c>
      <c r="AA14" s="36">
        <v>0.255112359550562</v>
      </c>
      <c r="AB14" s="32">
        <v>1250</v>
      </c>
      <c r="AC14" s="33">
        <v>1392.21</v>
      </c>
      <c r="AD14" s="34">
        <v>-142.21</v>
      </c>
      <c r="AE14" s="35">
        <v>0.220458553791887</v>
      </c>
      <c r="AF14" s="36">
        <v>0.25230337078651699</v>
      </c>
      <c r="AG14" s="32">
        <v>1189</v>
      </c>
      <c r="AH14" s="33">
        <v>1287.8900000000001</v>
      </c>
      <c r="AI14" s="34">
        <v>-98.889999999999901</v>
      </c>
      <c r="AJ14" s="35">
        <v>0.224848714069592</v>
      </c>
      <c r="AK14" s="36">
        <v>0.24949438202247201</v>
      </c>
      <c r="AL14" s="32">
        <v>1348</v>
      </c>
      <c r="AM14" s="33">
        <v>1379.5</v>
      </c>
      <c r="AN14" s="34">
        <v>-31.5</v>
      </c>
      <c r="AO14" s="35">
        <v>0.25032497678737198</v>
      </c>
      <c r="AP14" s="36">
        <v>0.25</v>
      </c>
      <c r="AQ14" s="40">
        <f t="shared" si="0"/>
        <v>10112</v>
      </c>
      <c r="AR14" s="41">
        <f t="shared" si="1"/>
        <v>11071.630000000001</v>
      </c>
      <c r="AS14" s="42">
        <f t="shared" si="2"/>
        <v>-959.63000000000102</v>
      </c>
      <c r="AT14" s="68">
        <f>AQ14/AQ7</f>
        <v>0.23098359906802504</v>
      </c>
      <c r="AU14" s="54"/>
      <c r="AW14" s="72"/>
      <c r="AX14" s="72" t="s">
        <v>48</v>
      </c>
      <c r="AY14" s="76">
        <f t="shared" si="7"/>
        <v>17179</v>
      </c>
      <c r="AZ14" s="77">
        <f t="shared" si="7"/>
        <v>14408.299999999997</v>
      </c>
      <c r="BA14" s="78">
        <f>AY14/AY16</f>
        <v>0.14010292210704878</v>
      </c>
      <c r="BB14" s="79">
        <f>AZ14/AZ16</f>
        <v>0.11631070262213497</v>
      </c>
      <c r="BC14" s="86"/>
      <c r="BD14" t="s">
        <v>48</v>
      </c>
      <c r="BE14" s="76">
        <f t="shared" si="8"/>
        <v>4166</v>
      </c>
      <c r="BF14" s="77">
        <f t="shared" si="8"/>
        <v>2710.7999999999993</v>
      </c>
      <c r="BG14" s="78">
        <f>BE14/BE16</f>
        <v>0.25491035917518201</v>
      </c>
      <c r="BH14" s="79">
        <f>BF14/BF16</f>
        <v>0.16735399432028641</v>
      </c>
      <c r="BI14" s="122"/>
      <c r="BJ14" s="72" t="s">
        <v>48</v>
      </c>
      <c r="BK14" s="76">
        <f t="shared" si="9"/>
        <v>3625</v>
      </c>
      <c r="BL14" s="77">
        <f t="shared" si="9"/>
        <v>2603.6799999999998</v>
      </c>
      <c r="BM14" s="78">
        <f>BK14/BK16</f>
        <v>0.22262482343548487</v>
      </c>
      <c r="BN14" s="79">
        <f>BL14/BL16</f>
        <v>0.16074083220150634</v>
      </c>
      <c r="BO14" s="122"/>
      <c r="BP14" s="72" t="s">
        <v>48</v>
      </c>
      <c r="BQ14" s="76">
        <f t="shared" si="10"/>
        <v>2410</v>
      </c>
      <c r="BR14" s="77">
        <f t="shared" si="10"/>
        <v>1766</v>
      </c>
      <c r="BS14" s="78">
        <f>BQ14/BQ16</f>
        <v>0.21610473457675752</v>
      </c>
      <c r="BT14" s="79">
        <f>BR14/BR16</f>
        <v>0.16002174700978616</v>
      </c>
      <c r="BW14" s="1">
        <f t="shared" si="11"/>
        <v>10201</v>
      </c>
    </row>
    <row r="15" spans="1:75" x14ac:dyDescent="0.2">
      <c r="A15" s="123" t="s">
        <v>23</v>
      </c>
      <c r="B15" s="38" t="s">
        <v>18</v>
      </c>
      <c r="C15" s="55">
        <f>SUM(C16:C21)</f>
        <v>1247</v>
      </c>
      <c r="D15" s="56">
        <f>SUM(D16:D21)</f>
        <v>1241</v>
      </c>
      <c r="E15" s="71">
        <f>C15-D15</f>
        <v>6</v>
      </c>
      <c r="F15" s="58">
        <f>C15/C15</f>
        <v>1</v>
      </c>
      <c r="G15" s="59">
        <v>1</v>
      </c>
      <c r="H15" s="55">
        <f>SUM(H16:H21)</f>
        <v>1091</v>
      </c>
      <c r="I15" s="56">
        <f>SUM(I16:I21)</f>
        <v>1241</v>
      </c>
      <c r="J15" s="57">
        <f>H15-I15</f>
        <v>-150</v>
      </c>
      <c r="K15" s="58">
        <f>H15/H15</f>
        <v>1</v>
      </c>
      <c r="L15" s="59">
        <v>1</v>
      </c>
      <c r="M15" s="55">
        <f>SUM(M16:M21)</f>
        <v>1038</v>
      </c>
      <c r="N15" s="56">
        <f>SUM(N16:N21)</f>
        <v>1200</v>
      </c>
      <c r="O15" s="57">
        <f>M15-N15</f>
        <v>-162</v>
      </c>
      <c r="P15" s="58">
        <f>M15/$M$15</f>
        <v>1</v>
      </c>
      <c r="Q15" s="59">
        <v>1</v>
      </c>
      <c r="R15" s="55">
        <f>SUM(R16:R21)</f>
        <v>1004</v>
      </c>
      <c r="S15" s="56">
        <f>SUM(S16:S21)</f>
        <v>1240</v>
      </c>
      <c r="T15" s="57">
        <f>R15-S15</f>
        <v>-236</v>
      </c>
      <c r="U15" s="58">
        <f>R15/$R$15</f>
        <v>1</v>
      </c>
      <c r="V15" s="59">
        <v>1</v>
      </c>
      <c r="W15" s="55">
        <f>SUM(W16:W21)</f>
        <v>973</v>
      </c>
      <c r="X15" s="56">
        <f>SUM(X16:X21)</f>
        <v>1200</v>
      </c>
      <c r="Y15" s="57">
        <f>W15-X15</f>
        <v>-227</v>
      </c>
      <c r="Z15" s="58">
        <f>W15/$W$15</f>
        <v>1</v>
      </c>
      <c r="AA15" s="59">
        <v>1</v>
      </c>
      <c r="AB15" s="55">
        <f>SUM(AB16:AB21)</f>
        <v>932</v>
      </c>
      <c r="AC15" s="56">
        <f>SUM(AC16:AC21)</f>
        <v>1240</v>
      </c>
      <c r="AD15" s="57">
        <f>AB15-AC15</f>
        <v>-308</v>
      </c>
      <c r="AE15" s="58">
        <f>AB15/$AB$15</f>
        <v>1</v>
      </c>
      <c r="AF15" s="59">
        <v>1</v>
      </c>
      <c r="AG15" s="55">
        <f>SUM(AG16:AG21)</f>
        <v>1001</v>
      </c>
      <c r="AH15" s="56">
        <f>SUM(AH16:AH21)</f>
        <v>1160</v>
      </c>
      <c r="AI15" s="57">
        <f>AG15-AH15</f>
        <v>-159</v>
      </c>
      <c r="AJ15" s="58">
        <f>AG15/$AG$15</f>
        <v>1</v>
      </c>
      <c r="AK15" s="59">
        <v>1</v>
      </c>
      <c r="AL15" s="56">
        <f>SUM(AL16:AL21)</f>
        <v>1059</v>
      </c>
      <c r="AM15" s="56">
        <f>SUM(AM16:AM21)</f>
        <v>1240</v>
      </c>
      <c r="AN15" s="57">
        <v>-181</v>
      </c>
      <c r="AO15" s="58">
        <v>1</v>
      </c>
      <c r="AP15" s="59">
        <v>1</v>
      </c>
      <c r="AQ15" s="22">
        <f t="shared" si="0"/>
        <v>8345</v>
      </c>
      <c r="AR15" s="23">
        <f t="shared" si="1"/>
        <v>9762</v>
      </c>
      <c r="AS15" s="67">
        <f t="shared" si="2"/>
        <v>-1417</v>
      </c>
      <c r="AT15" s="65">
        <f>AQ15/AQ15</f>
        <v>1</v>
      </c>
      <c r="AU15" s="60"/>
      <c r="AW15" s="72"/>
      <c r="AX15" s="72" t="s">
        <v>47</v>
      </c>
      <c r="AY15" s="76">
        <f t="shared" si="7"/>
        <v>41137</v>
      </c>
      <c r="AZ15" s="77">
        <f t="shared" si="7"/>
        <v>43090.41</v>
      </c>
      <c r="BA15" s="78">
        <f>AY15/AY16</f>
        <v>0.33549181597983968</v>
      </c>
      <c r="BB15" s="79">
        <f>AZ15/AZ16</f>
        <v>0.34784644013352528</v>
      </c>
      <c r="BC15" s="86"/>
      <c r="BD15" t="s">
        <v>47</v>
      </c>
      <c r="BE15" s="76">
        <f t="shared" si="8"/>
        <v>3787</v>
      </c>
      <c r="BF15" s="77">
        <f t="shared" si="8"/>
        <v>4059.6000000000004</v>
      </c>
      <c r="BG15" s="78">
        <f>BE15/BE16</f>
        <v>0.23172000244753105</v>
      </c>
      <c r="BH15" s="79">
        <f>BF15/BF16</f>
        <v>0.25062353376960123</v>
      </c>
      <c r="BI15" s="122"/>
      <c r="BJ15" s="72" t="s">
        <v>47</v>
      </c>
      <c r="BK15" s="76">
        <f t="shared" si="9"/>
        <v>3773</v>
      </c>
      <c r="BL15" s="77">
        <f t="shared" si="9"/>
        <v>4164.03</v>
      </c>
      <c r="BM15" s="78">
        <f>BK15/BK16</f>
        <v>0.23171405760609223</v>
      </c>
      <c r="BN15" s="79">
        <f>BL15/BL16</f>
        <v>0.25707062600321023</v>
      </c>
      <c r="BO15" s="122"/>
      <c r="BP15" s="72" t="s">
        <v>47</v>
      </c>
      <c r="BQ15" s="76">
        <f t="shared" si="10"/>
        <v>2552</v>
      </c>
      <c r="BR15" s="77">
        <f t="shared" si="10"/>
        <v>2848</v>
      </c>
      <c r="BS15" s="78">
        <f>BQ15/BQ16</f>
        <v>0.22883787661406027</v>
      </c>
      <c r="BT15" s="79">
        <f>BR15/BR16</f>
        <v>0.25806451612903225</v>
      </c>
      <c r="BW15" s="1">
        <f t="shared" si="11"/>
        <v>10112</v>
      </c>
    </row>
    <row r="16" spans="1:75" ht="13.5" thickBot="1" x14ac:dyDescent="0.25">
      <c r="A16" s="129" t="s">
        <v>23</v>
      </c>
      <c r="B16" s="51" t="s">
        <v>51</v>
      </c>
      <c r="C16" s="27">
        <v>416</v>
      </c>
      <c r="D16" s="1">
        <v>433</v>
      </c>
      <c r="E16" s="28">
        <f t="shared" ref="E16:E48" si="12">C16-D16</f>
        <v>-17</v>
      </c>
      <c r="F16" s="29">
        <f>C16/$H$15</f>
        <v>0.38130155820348305</v>
      </c>
      <c r="G16" s="30">
        <v>0.34899999999999998</v>
      </c>
      <c r="H16" s="27">
        <v>420</v>
      </c>
      <c r="I16" s="1">
        <v>433</v>
      </c>
      <c r="J16" s="28">
        <f t="shared" ref="J16:J48" si="13">H16-I16</f>
        <v>-13</v>
      </c>
      <c r="K16" s="29">
        <f>H16/$H$15</f>
        <v>0.38496791934005498</v>
      </c>
      <c r="L16" s="30">
        <v>0.34899999999999998</v>
      </c>
      <c r="M16" s="27">
        <v>376</v>
      </c>
      <c r="N16" s="1">
        <v>418.8</v>
      </c>
      <c r="O16" s="28">
        <f t="shared" ref="O16:O48" si="14">M16-N16</f>
        <v>-42.800000000000011</v>
      </c>
      <c r="P16" s="29">
        <f t="shared" ref="P16:P21" si="15">M16/$M$15</f>
        <v>0.3622350674373796</v>
      </c>
      <c r="Q16" s="30">
        <v>0.34899999999999998</v>
      </c>
      <c r="R16" s="27">
        <v>372</v>
      </c>
      <c r="S16" s="1">
        <v>432.76</v>
      </c>
      <c r="T16" s="28">
        <f t="shared" ref="T16:T34" si="16">R16-S16</f>
        <v>-60.759999999999991</v>
      </c>
      <c r="U16" s="29">
        <f t="shared" ref="U16:U21" si="17">R16/$R$15</f>
        <v>0.37051792828685259</v>
      </c>
      <c r="V16" s="30">
        <v>0.34899999999999998</v>
      </c>
      <c r="W16" s="27">
        <v>360</v>
      </c>
      <c r="X16" s="1">
        <v>418.8</v>
      </c>
      <c r="Y16" s="28">
        <f t="shared" ref="Y16:Y34" si="18">W16-X16</f>
        <v>-58.800000000000011</v>
      </c>
      <c r="Z16" s="29">
        <f>W16/$W$15</f>
        <v>0.36998972250770812</v>
      </c>
      <c r="AA16" s="30">
        <v>0.34899999999999998</v>
      </c>
      <c r="AB16" s="27">
        <v>372</v>
      </c>
      <c r="AC16" s="1">
        <v>432.76</v>
      </c>
      <c r="AD16" s="28">
        <f t="shared" ref="AD16:AD21" si="19">AB16-AC16</f>
        <v>-60.759999999999991</v>
      </c>
      <c r="AE16" s="29">
        <f>AB16/$AB$15</f>
        <v>0.39914163090128757</v>
      </c>
      <c r="AF16" s="30">
        <v>0.34899999999999998</v>
      </c>
      <c r="AG16" s="27">
        <v>334</v>
      </c>
      <c r="AH16" s="1">
        <v>404.84</v>
      </c>
      <c r="AI16" s="28">
        <f t="shared" ref="AI16:AI21" si="20">AG16-AH16</f>
        <v>-70.839999999999975</v>
      </c>
      <c r="AJ16" s="29">
        <f>AG16/$AG$15</f>
        <v>0.33366633366633369</v>
      </c>
      <c r="AK16" s="30">
        <v>0.34899999999999998</v>
      </c>
      <c r="AL16" s="27">
        <v>340</v>
      </c>
      <c r="AM16" s="1">
        <v>432.76</v>
      </c>
      <c r="AN16" s="28">
        <v>-92.759999999999906</v>
      </c>
      <c r="AO16" s="29">
        <v>0.32105760151085899</v>
      </c>
      <c r="AP16" s="30">
        <v>0.34899999999999998</v>
      </c>
      <c r="AQ16" s="22">
        <f t="shared" si="0"/>
        <v>2990</v>
      </c>
      <c r="AR16" s="23">
        <f t="shared" si="1"/>
        <v>3406.7200000000003</v>
      </c>
      <c r="AS16" s="44">
        <f t="shared" si="2"/>
        <v>-416.72000000000025</v>
      </c>
      <c r="AT16" s="63">
        <f>AQ16/AQ15</f>
        <v>0.35829838226482924</v>
      </c>
      <c r="AU16" s="52"/>
      <c r="AW16" s="72"/>
      <c r="AX16" s="80"/>
      <c r="AY16" s="81">
        <f>SUM(AY9:AY15)</f>
        <v>122617</v>
      </c>
      <c r="AZ16" s="82">
        <f>SUM(AZ9:AZ15)</f>
        <v>123877.68000000001</v>
      </c>
      <c r="BA16" s="83">
        <f>SUM(BA9:BA15)</f>
        <v>1</v>
      </c>
      <c r="BB16" s="84">
        <f>AZ16/AZ16</f>
        <v>1</v>
      </c>
      <c r="BC16" s="86"/>
      <c r="BD16" s="85"/>
      <c r="BE16" s="81">
        <f>SUM(BE9:BE15)</f>
        <v>16343</v>
      </c>
      <c r="BF16" s="82">
        <f>SUM(BF9:BF15)</f>
        <v>16198</v>
      </c>
      <c r="BG16" s="83">
        <f>SUM(BG9:BG15)</f>
        <v>1</v>
      </c>
      <c r="BH16" s="84">
        <f>BF16/BF16</f>
        <v>1</v>
      </c>
      <c r="BI16" s="122"/>
      <c r="BJ16" s="80"/>
      <c r="BK16" s="81">
        <f>SUM(BK9:BK15)</f>
        <v>16283</v>
      </c>
      <c r="BL16" s="82">
        <f>SUM(BL9:BL15)</f>
        <v>16198</v>
      </c>
      <c r="BM16" s="83">
        <f>SUM(BM9:BM15)</f>
        <v>0.99999999999999989</v>
      </c>
      <c r="BN16" s="84">
        <f>BL16/BL16</f>
        <v>1</v>
      </c>
      <c r="BO16" s="122"/>
      <c r="BP16" s="80"/>
      <c r="BQ16" s="81">
        <f>SUM(BQ9:BQ15)</f>
        <v>11152</v>
      </c>
      <c r="BR16" s="82">
        <f>SUM(BR9:BR15)</f>
        <v>11036</v>
      </c>
      <c r="BS16" s="83">
        <f>SUM(BS9:BS15)</f>
        <v>1</v>
      </c>
      <c r="BT16" s="84">
        <f>BR16/BR16</f>
        <v>1</v>
      </c>
      <c r="BW16" s="1">
        <f t="shared" si="11"/>
        <v>43778</v>
      </c>
    </row>
    <row r="17" spans="1:72" x14ac:dyDescent="0.2">
      <c r="A17" s="129"/>
      <c r="B17" s="51" t="s">
        <v>52</v>
      </c>
      <c r="C17" s="27">
        <f>19+3</f>
        <v>22</v>
      </c>
      <c r="D17" s="1">
        <v>0</v>
      </c>
      <c r="E17" s="69">
        <f t="shared" si="12"/>
        <v>22</v>
      </c>
      <c r="F17" s="29">
        <f t="shared" ref="F17:F21" si="21">C17/$H$15</f>
        <v>2.0164986251145739E-2</v>
      </c>
      <c r="G17" s="30"/>
      <c r="H17" s="27">
        <v>30</v>
      </c>
      <c r="I17" s="1">
        <v>0</v>
      </c>
      <c r="J17" s="69">
        <f t="shared" si="13"/>
        <v>30</v>
      </c>
      <c r="K17" s="29">
        <f t="shared" ref="K17:K21" si="22">H17/$H$15</f>
        <v>2.7497708524289642E-2</v>
      </c>
      <c r="L17" s="30"/>
      <c r="M17" s="27">
        <v>18</v>
      </c>
      <c r="N17" s="1">
        <v>0</v>
      </c>
      <c r="O17" s="69">
        <f t="shared" si="14"/>
        <v>18</v>
      </c>
      <c r="P17" s="29">
        <f t="shared" si="15"/>
        <v>1.7341040462427744E-2</v>
      </c>
      <c r="Q17" s="30"/>
      <c r="R17" s="27"/>
      <c r="S17" s="1"/>
      <c r="T17" s="28"/>
      <c r="U17" s="29"/>
      <c r="V17" s="30"/>
      <c r="W17" s="27"/>
      <c r="X17" s="1"/>
      <c r="Y17" s="28"/>
      <c r="Z17" s="29"/>
      <c r="AA17" s="30"/>
      <c r="AB17" s="27"/>
      <c r="AC17" s="1"/>
      <c r="AD17" s="28"/>
      <c r="AE17" s="29"/>
      <c r="AF17" s="30"/>
      <c r="AG17" s="27">
        <v>0</v>
      </c>
      <c r="AH17" s="1">
        <v>0</v>
      </c>
      <c r="AI17" s="28"/>
      <c r="AJ17" s="29"/>
      <c r="AK17" s="30"/>
      <c r="AL17" s="27"/>
      <c r="AM17" s="1"/>
      <c r="AN17" s="28"/>
      <c r="AO17" s="29"/>
      <c r="AP17" s="30"/>
      <c r="AQ17" s="22">
        <f t="shared" si="0"/>
        <v>70</v>
      </c>
      <c r="AR17" s="23">
        <f t="shared" si="1"/>
        <v>0</v>
      </c>
      <c r="AS17" s="44">
        <f t="shared" si="2"/>
        <v>70</v>
      </c>
      <c r="AT17" s="63">
        <f>AQ17/AQ15</f>
        <v>8.3882564409826239E-3</v>
      </c>
      <c r="AU17" s="52"/>
      <c r="AW17" s="72"/>
      <c r="BC17" s="52"/>
      <c r="BK17" s="1"/>
    </row>
    <row r="18" spans="1:72" x14ac:dyDescent="0.2">
      <c r="A18" s="129"/>
      <c r="B18" s="51" t="s">
        <v>83</v>
      </c>
      <c r="C18" s="27">
        <v>31</v>
      </c>
      <c r="D18" s="1">
        <v>0</v>
      </c>
      <c r="E18" s="69">
        <f t="shared" si="12"/>
        <v>31</v>
      </c>
      <c r="F18" s="29">
        <f t="shared" si="21"/>
        <v>2.8414298808432631E-2</v>
      </c>
      <c r="G18" s="30"/>
      <c r="H18" s="27">
        <v>31</v>
      </c>
      <c r="I18" s="1">
        <v>0</v>
      </c>
      <c r="J18" s="69">
        <f t="shared" si="13"/>
        <v>31</v>
      </c>
      <c r="K18" s="29">
        <f t="shared" si="22"/>
        <v>2.8414298808432631E-2</v>
      </c>
      <c r="L18" s="30"/>
      <c r="M18" s="27">
        <v>10</v>
      </c>
      <c r="N18" s="1">
        <v>0</v>
      </c>
      <c r="O18" s="69">
        <f>M18-N18</f>
        <v>10</v>
      </c>
      <c r="P18" s="29">
        <f t="shared" si="15"/>
        <v>9.6339113680154135E-3</v>
      </c>
      <c r="Q18" s="30"/>
      <c r="R18" s="27"/>
      <c r="S18" s="1"/>
      <c r="T18" s="28"/>
      <c r="U18" s="29"/>
      <c r="V18" s="30"/>
      <c r="W18" s="27"/>
      <c r="X18" s="1"/>
      <c r="Y18" s="28"/>
      <c r="Z18" s="29"/>
      <c r="AA18" s="30"/>
      <c r="AB18" s="27"/>
      <c r="AC18" s="1"/>
      <c r="AD18" s="28"/>
      <c r="AE18" s="29"/>
      <c r="AF18" s="30"/>
      <c r="AG18" s="27"/>
      <c r="AH18" s="1"/>
      <c r="AI18" s="28"/>
      <c r="AJ18" s="29"/>
      <c r="AK18" s="30"/>
      <c r="AL18" s="27"/>
      <c r="AM18" s="1"/>
      <c r="AN18" s="28"/>
      <c r="AO18" s="29"/>
      <c r="AP18" s="30"/>
      <c r="AQ18" s="22">
        <f t="shared" si="0"/>
        <v>72</v>
      </c>
      <c r="AR18" s="23">
        <f t="shared" si="1"/>
        <v>0</v>
      </c>
      <c r="AS18" s="44">
        <f t="shared" si="2"/>
        <v>72</v>
      </c>
      <c r="AT18" s="63">
        <f>AQ18/AQ15</f>
        <v>8.6279209107249857E-3</v>
      </c>
      <c r="AU18" s="52"/>
      <c r="AW18" s="72"/>
      <c r="BC18" s="52"/>
    </row>
    <row r="19" spans="1:72" ht="13.5" thickBot="1" x14ac:dyDescent="0.25">
      <c r="A19" s="129" t="s">
        <v>23</v>
      </c>
      <c r="B19" s="51" t="s">
        <v>49</v>
      </c>
      <c r="C19" s="27">
        <v>10</v>
      </c>
      <c r="D19" s="1">
        <v>0</v>
      </c>
      <c r="E19" s="69">
        <f t="shared" si="12"/>
        <v>10</v>
      </c>
      <c r="F19" s="29">
        <f t="shared" si="21"/>
        <v>9.1659028414298807E-3</v>
      </c>
      <c r="G19" s="30" t="s">
        <v>24</v>
      </c>
      <c r="H19" s="27">
        <v>10</v>
      </c>
      <c r="I19" s="1">
        <v>0</v>
      </c>
      <c r="J19" s="69">
        <f t="shared" si="13"/>
        <v>10</v>
      </c>
      <c r="K19" s="29">
        <f t="shared" si="22"/>
        <v>9.1659028414298807E-3</v>
      </c>
      <c r="L19" s="30" t="s">
        <v>24</v>
      </c>
      <c r="M19" s="27">
        <v>0</v>
      </c>
      <c r="N19" s="1">
        <v>0</v>
      </c>
      <c r="O19" s="69">
        <f t="shared" si="14"/>
        <v>0</v>
      </c>
      <c r="P19" s="29">
        <f t="shared" si="15"/>
        <v>0</v>
      </c>
      <c r="Q19" s="30" t="s">
        <v>24</v>
      </c>
      <c r="R19" s="27"/>
      <c r="S19" s="1">
        <v>0</v>
      </c>
      <c r="T19" s="28">
        <f t="shared" si="16"/>
        <v>0</v>
      </c>
      <c r="U19" s="29">
        <f t="shared" si="17"/>
        <v>0</v>
      </c>
      <c r="V19" s="30" t="s">
        <v>24</v>
      </c>
      <c r="W19" s="27">
        <v>28</v>
      </c>
      <c r="X19" s="1">
        <v>0</v>
      </c>
      <c r="Y19" s="69">
        <f t="shared" si="18"/>
        <v>28</v>
      </c>
      <c r="Z19" s="29">
        <f>W19/$W$15</f>
        <v>2.8776978417266189E-2</v>
      </c>
      <c r="AA19" s="30" t="s">
        <v>24</v>
      </c>
      <c r="AB19" s="27">
        <v>13</v>
      </c>
      <c r="AC19" s="1">
        <v>0</v>
      </c>
      <c r="AD19" s="28">
        <f t="shared" si="19"/>
        <v>13</v>
      </c>
      <c r="AE19" s="29">
        <f>AB19/$AB$15</f>
        <v>1.3948497854077254E-2</v>
      </c>
      <c r="AF19" s="30" t="s">
        <v>24</v>
      </c>
      <c r="AG19" s="27">
        <f>23+14</f>
        <v>37</v>
      </c>
      <c r="AH19" s="1">
        <v>0</v>
      </c>
      <c r="AI19" s="28">
        <f t="shared" si="20"/>
        <v>37</v>
      </c>
      <c r="AJ19" s="29">
        <f>AG19/$AG$15</f>
        <v>3.696303696303696E-2</v>
      </c>
      <c r="AK19" s="30" t="s">
        <v>24</v>
      </c>
      <c r="AL19" s="27">
        <v>25</v>
      </c>
      <c r="AM19" s="1">
        <v>0</v>
      </c>
      <c r="AN19" s="31">
        <v>25</v>
      </c>
      <c r="AO19" s="29">
        <v>2.3607176581680801E-2</v>
      </c>
      <c r="AP19" s="30">
        <v>0</v>
      </c>
      <c r="AQ19" s="22">
        <f t="shared" si="0"/>
        <v>123</v>
      </c>
      <c r="AR19" s="23">
        <f t="shared" si="1"/>
        <v>0</v>
      </c>
      <c r="AS19" s="44">
        <f t="shared" si="2"/>
        <v>123</v>
      </c>
      <c r="AT19" s="63">
        <f>AQ19/AQ15</f>
        <v>1.4739364889155183E-2</v>
      </c>
      <c r="AU19" s="52"/>
      <c r="AW19" s="80"/>
      <c r="AX19" s="85"/>
      <c r="AY19" s="85"/>
      <c r="AZ19" s="85"/>
      <c r="BA19" s="85"/>
      <c r="BB19" s="85"/>
      <c r="BC19" s="54"/>
      <c r="BD19" s="121" t="s">
        <v>72</v>
      </c>
      <c r="BE19" s="121"/>
      <c r="BF19" s="121"/>
      <c r="BG19" s="121"/>
      <c r="BH19" s="121"/>
      <c r="BI19" s="3"/>
      <c r="BJ19" s="121" t="s">
        <v>73</v>
      </c>
      <c r="BK19" s="121"/>
      <c r="BL19" s="121"/>
      <c r="BM19" s="121"/>
      <c r="BN19" s="121"/>
      <c r="BO19" s="3"/>
      <c r="BP19" s="121" t="str">
        <f>BP6</f>
        <v>Q3 2024</v>
      </c>
      <c r="BQ19" s="121"/>
      <c r="BR19" s="121"/>
      <c r="BS19" s="121"/>
      <c r="BT19" s="121"/>
    </row>
    <row r="20" spans="1:72" x14ac:dyDescent="0.2">
      <c r="A20" s="129" t="s">
        <v>23</v>
      </c>
      <c r="B20" s="51" t="s">
        <v>48</v>
      </c>
      <c r="C20" s="27">
        <v>160</v>
      </c>
      <c r="D20" s="1">
        <v>109</v>
      </c>
      <c r="E20" s="69">
        <f t="shared" si="12"/>
        <v>51</v>
      </c>
      <c r="F20" s="29">
        <f t="shared" si="21"/>
        <v>0.14665444546287809</v>
      </c>
      <c r="G20" s="30">
        <v>8.7499999999999994E-2</v>
      </c>
      <c r="H20" s="27">
        <v>116</v>
      </c>
      <c r="I20" s="1">
        <v>109</v>
      </c>
      <c r="J20" s="69">
        <f t="shared" si="13"/>
        <v>7</v>
      </c>
      <c r="K20" s="29">
        <f t="shared" si="22"/>
        <v>0.10632447296058661</v>
      </c>
      <c r="L20" s="30">
        <v>8.7499999999999994E-2</v>
      </c>
      <c r="M20" s="27">
        <v>165</v>
      </c>
      <c r="N20" s="1">
        <v>105</v>
      </c>
      <c r="O20" s="69">
        <f t="shared" si="14"/>
        <v>60</v>
      </c>
      <c r="P20" s="29">
        <f t="shared" si="15"/>
        <v>0.15895953757225434</v>
      </c>
      <c r="Q20" s="30">
        <v>8.7499999999999994E-2</v>
      </c>
      <c r="R20" s="27">
        <v>108</v>
      </c>
      <c r="S20" s="1">
        <v>108.5</v>
      </c>
      <c r="T20" s="28">
        <f t="shared" si="16"/>
        <v>-0.5</v>
      </c>
      <c r="U20" s="29">
        <f t="shared" si="17"/>
        <v>0.10756972111553785</v>
      </c>
      <c r="V20" s="30">
        <v>8.7499999999999994E-2</v>
      </c>
      <c r="W20" s="27">
        <v>112</v>
      </c>
      <c r="X20" s="1">
        <v>105</v>
      </c>
      <c r="Y20" s="69">
        <f t="shared" si="18"/>
        <v>7</v>
      </c>
      <c r="Z20" s="29">
        <f>W20/$W$15</f>
        <v>0.11510791366906475</v>
      </c>
      <c r="AA20" s="30">
        <v>8.7499999999999994E-2</v>
      </c>
      <c r="AB20" s="27">
        <v>106</v>
      </c>
      <c r="AC20" s="1">
        <v>108.5</v>
      </c>
      <c r="AD20" s="28">
        <f t="shared" si="19"/>
        <v>-2.5</v>
      </c>
      <c r="AE20" s="29">
        <f>AB20/$AB$15</f>
        <v>0.11373390557939914</v>
      </c>
      <c r="AF20" s="30">
        <v>8.7499999999999994E-2</v>
      </c>
      <c r="AG20" s="27">
        <v>134</v>
      </c>
      <c r="AH20" s="1">
        <v>101.5</v>
      </c>
      <c r="AI20" s="28">
        <f t="shared" si="20"/>
        <v>32.5</v>
      </c>
      <c r="AJ20" s="29">
        <f>AG20/$AG$15</f>
        <v>0.13386613386613386</v>
      </c>
      <c r="AK20" s="30">
        <v>8.7499999999999994E-2</v>
      </c>
      <c r="AL20" s="27">
        <v>179</v>
      </c>
      <c r="AM20" s="1">
        <v>108.5</v>
      </c>
      <c r="AN20" s="31">
        <v>70.5</v>
      </c>
      <c r="AO20" s="29">
        <v>0.16902738432483499</v>
      </c>
      <c r="AP20" s="30">
        <v>8.7499999999999994E-2</v>
      </c>
      <c r="AQ20" s="22">
        <f t="shared" si="0"/>
        <v>1080</v>
      </c>
      <c r="AR20" s="23">
        <f t="shared" si="1"/>
        <v>855</v>
      </c>
      <c r="AS20" s="44">
        <f t="shared" si="2"/>
        <v>225</v>
      </c>
      <c r="AT20" s="63">
        <f>AQ20/AQ15</f>
        <v>0.12941881366087477</v>
      </c>
      <c r="AU20" s="52"/>
      <c r="BD20" s="116" t="s">
        <v>68</v>
      </c>
      <c r="BE20" s="117"/>
      <c r="BF20" s="117"/>
      <c r="BG20" s="117"/>
      <c r="BH20" s="60"/>
      <c r="BI20" s="122" t="s">
        <v>75</v>
      </c>
      <c r="BJ20" s="116" t="s">
        <v>68</v>
      </c>
      <c r="BK20" s="117"/>
      <c r="BL20" s="117"/>
      <c r="BM20" s="117"/>
      <c r="BN20" s="60"/>
      <c r="BO20" s="122" t="s">
        <v>75</v>
      </c>
      <c r="BP20" s="116" t="s">
        <v>68</v>
      </c>
      <c r="BQ20" s="117"/>
      <c r="BR20" s="117"/>
      <c r="BS20" s="117"/>
      <c r="BT20" s="60"/>
    </row>
    <row r="21" spans="1:72" ht="13.5" thickBot="1" x14ac:dyDescent="0.25">
      <c r="A21" s="126" t="s">
        <v>23</v>
      </c>
      <c r="B21" s="53" t="s">
        <v>47</v>
      </c>
      <c r="C21" s="32">
        <v>608</v>
      </c>
      <c r="D21" s="33">
        <v>699</v>
      </c>
      <c r="E21" s="34">
        <f t="shared" si="12"/>
        <v>-91</v>
      </c>
      <c r="F21" s="29">
        <f t="shared" si="21"/>
        <v>0.55728689275893672</v>
      </c>
      <c r="G21" s="36">
        <v>0.5635</v>
      </c>
      <c r="H21" s="32">
        <v>484</v>
      </c>
      <c r="I21" s="33">
        <v>699</v>
      </c>
      <c r="J21" s="34">
        <f t="shared" si="13"/>
        <v>-215</v>
      </c>
      <c r="K21" s="29">
        <f t="shared" si="22"/>
        <v>0.44362969752520626</v>
      </c>
      <c r="L21" s="36">
        <v>0.5635</v>
      </c>
      <c r="M21" s="32">
        <v>469</v>
      </c>
      <c r="N21" s="33">
        <v>676.2</v>
      </c>
      <c r="O21" s="34">
        <f t="shared" si="14"/>
        <v>-207.20000000000005</v>
      </c>
      <c r="P21" s="29">
        <f t="shared" si="15"/>
        <v>0.45183044315992293</v>
      </c>
      <c r="Q21" s="36">
        <v>0.5635</v>
      </c>
      <c r="R21" s="32">
        <v>524</v>
      </c>
      <c r="S21" s="33">
        <v>698.74</v>
      </c>
      <c r="T21" s="34">
        <f t="shared" si="16"/>
        <v>-174.74</v>
      </c>
      <c r="U21" s="35">
        <f t="shared" si="17"/>
        <v>0.52191235059760954</v>
      </c>
      <c r="V21" s="36">
        <v>0.5635</v>
      </c>
      <c r="W21" s="32">
        <v>473</v>
      </c>
      <c r="X21" s="33">
        <v>676.2</v>
      </c>
      <c r="Y21" s="34">
        <f t="shared" si="18"/>
        <v>-203.20000000000005</v>
      </c>
      <c r="Z21" s="35">
        <f>W21/$W$15</f>
        <v>0.48612538540596095</v>
      </c>
      <c r="AA21" s="36">
        <v>0.5635</v>
      </c>
      <c r="AB21" s="32">
        <v>441</v>
      </c>
      <c r="AC21" s="33">
        <v>698.74</v>
      </c>
      <c r="AD21" s="34">
        <f t="shared" si="19"/>
        <v>-257.74</v>
      </c>
      <c r="AE21" s="35">
        <f>AB21/$AB$15</f>
        <v>0.47317596566523606</v>
      </c>
      <c r="AF21" s="36">
        <v>0.5635</v>
      </c>
      <c r="AG21" s="32">
        <v>496</v>
      </c>
      <c r="AH21" s="33">
        <v>653.66</v>
      </c>
      <c r="AI21" s="34">
        <f t="shared" si="20"/>
        <v>-157.65999999999997</v>
      </c>
      <c r="AJ21" s="35">
        <f>AG21/$AG$15</f>
        <v>0.49550449550449549</v>
      </c>
      <c r="AK21" s="36">
        <v>0.5635</v>
      </c>
      <c r="AL21" s="32">
        <v>515</v>
      </c>
      <c r="AM21" s="33">
        <v>698.74</v>
      </c>
      <c r="AN21" s="34">
        <v>-183.74</v>
      </c>
      <c r="AO21" s="35">
        <v>0.48630783758262502</v>
      </c>
      <c r="AP21" s="36">
        <v>0.5635</v>
      </c>
      <c r="AQ21" s="40">
        <f t="shared" si="0"/>
        <v>4010</v>
      </c>
      <c r="AR21" s="41">
        <f t="shared" si="1"/>
        <v>5500.28</v>
      </c>
      <c r="AS21" s="42">
        <f t="shared" si="2"/>
        <v>-1490.2799999999997</v>
      </c>
      <c r="AT21" s="68">
        <f>AQ21/AQ15</f>
        <v>0.48052726183343319</v>
      </c>
      <c r="AU21" s="54"/>
      <c r="BD21" s="72"/>
      <c r="BE21" s="73" t="s">
        <v>40</v>
      </c>
      <c r="BF21" s="74" t="s">
        <v>69</v>
      </c>
      <c r="BG21" s="73" t="s">
        <v>40</v>
      </c>
      <c r="BH21" s="75" t="s">
        <v>69</v>
      </c>
      <c r="BI21" s="122"/>
      <c r="BJ21" s="72"/>
      <c r="BK21" s="73" t="s">
        <v>40</v>
      </c>
      <c r="BL21" s="74" t="s">
        <v>69</v>
      </c>
      <c r="BM21" s="73" t="s">
        <v>40</v>
      </c>
      <c r="BN21" s="75" t="s">
        <v>69</v>
      </c>
      <c r="BO21" s="122"/>
      <c r="BP21" s="72"/>
      <c r="BQ21" s="73" t="s">
        <v>40</v>
      </c>
      <c r="BR21" s="74" t="s">
        <v>69</v>
      </c>
      <c r="BS21" s="73" t="s">
        <v>40</v>
      </c>
      <c r="BT21" s="75" t="s">
        <v>69</v>
      </c>
    </row>
    <row r="22" spans="1:72" x14ac:dyDescent="0.2">
      <c r="A22" s="123" t="s">
        <v>25</v>
      </c>
      <c r="B22" s="38" t="s">
        <v>18</v>
      </c>
      <c r="C22" s="55">
        <f>SUM(C23:C27)</f>
        <v>1921</v>
      </c>
      <c r="D22" s="56">
        <f>SUM(D23:D27)</f>
        <v>2032</v>
      </c>
      <c r="E22" s="57">
        <f t="shared" si="12"/>
        <v>-111</v>
      </c>
      <c r="F22" s="58">
        <f>C22/$H$22</f>
        <v>0.94770596941292551</v>
      </c>
      <c r="G22" s="59">
        <v>1</v>
      </c>
      <c r="H22" s="55">
        <f>SUM(H23:H27)</f>
        <v>2027</v>
      </c>
      <c r="I22" s="56">
        <f>SUM(I23:I27)</f>
        <v>2032</v>
      </c>
      <c r="J22" s="57">
        <f t="shared" si="13"/>
        <v>-5</v>
      </c>
      <c r="K22" s="58">
        <f>H22/$H$22</f>
        <v>1</v>
      </c>
      <c r="L22" s="59">
        <v>1</v>
      </c>
      <c r="M22" s="55">
        <f>SUM(M23:M27)</f>
        <v>1949</v>
      </c>
      <c r="N22" s="55">
        <f>SUM(N23:N27)</f>
        <v>1966.5</v>
      </c>
      <c r="O22" s="57">
        <f t="shared" si="14"/>
        <v>-17.5</v>
      </c>
      <c r="P22" s="58">
        <f>M22/$M$22</f>
        <v>1</v>
      </c>
      <c r="Q22" s="59">
        <v>1</v>
      </c>
      <c r="R22" s="55">
        <f>SUM(R23:R27)</f>
        <v>2047</v>
      </c>
      <c r="S22" s="55">
        <f>SUM(S23:S27)</f>
        <v>2032.05</v>
      </c>
      <c r="T22" s="71">
        <f t="shared" si="16"/>
        <v>14.950000000000045</v>
      </c>
      <c r="U22" s="58">
        <f>R22/$R$22</f>
        <v>1</v>
      </c>
      <c r="V22" s="59">
        <v>1</v>
      </c>
      <c r="W22" s="55">
        <f>SUM(W23:W27)</f>
        <v>1975</v>
      </c>
      <c r="X22" s="55">
        <f>SUM(X23:X27)</f>
        <v>1966.5</v>
      </c>
      <c r="Y22" s="71">
        <f t="shared" si="18"/>
        <v>8.5</v>
      </c>
      <c r="Z22" s="58">
        <f t="shared" ref="Z22:Z27" si="23">W22/$W$22</f>
        <v>1</v>
      </c>
      <c r="AA22" s="59">
        <v>1</v>
      </c>
      <c r="AB22" s="55">
        <f>SUM(AB23:AB27)</f>
        <v>2034</v>
      </c>
      <c r="AC22" s="55">
        <f>SUM(AC23:AC27)</f>
        <v>2032.05</v>
      </c>
      <c r="AD22" s="61">
        <f>AB22-AC22</f>
        <v>1.9500000000000455</v>
      </c>
      <c r="AE22" s="58">
        <v>1</v>
      </c>
      <c r="AF22" s="59">
        <v>1</v>
      </c>
      <c r="AG22" s="55">
        <f>SUM(AG23:AG27)</f>
        <v>1946</v>
      </c>
      <c r="AH22" s="55">
        <f>SUM(AH23:AH27)</f>
        <v>1900.9500000000003</v>
      </c>
      <c r="AI22" s="61">
        <v>45.049999999997702</v>
      </c>
      <c r="AJ22" s="58">
        <v>1</v>
      </c>
      <c r="AK22" s="59">
        <v>1</v>
      </c>
      <c r="AL22" s="55">
        <v>2098</v>
      </c>
      <c r="AM22" s="56">
        <v>2032.05</v>
      </c>
      <c r="AN22" s="61">
        <v>65.9499999999978</v>
      </c>
      <c r="AO22" s="58">
        <v>1</v>
      </c>
      <c r="AP22" s="59">
        <v>1</v>
      </c>
      <c r="AQ22" s="22">
        <f t="shared" si="0"/>
        <v>15997</v>
      </c>
      <c r="AR22" s="23">
        <f t="shared" si="1"/>
        <v>15994.1</v>
      </c>
      <c r="AS22" s="67">
        <f t="shared" si="2"/>
        <v>2.8999999999996362</v>
      </c>
      <c r="AT22" s="65">
        <f>AQ22/AQ22</f>
        <v>1</v>
      </c>
      <c r="AU22" s="60"/>
      <c r="BD22" s="72" t="s">
        <v>53</v>
      </c>
      <c r="BE22" s="76"/>
      <c r="BF22" s="77"/>
      <c r="BG22" s="78">
        <f>BE22/BE29</f>
        <v>0</v>
      </c>
      <c r="BH22" s="79">
        <f>BF22/BF29</f>
        <v>0</v>
      </c>
      <c r="BI22" s="122"/>
      <c r="BJ22" s="72" t="s">
        <v>53</v>
      </c>
      <c r="BK22" s="76"/>
      <c r="BL22" s="77"/>
      <c r="BM22" s="78">
        <f>BK22/BK29</f>
        <v>0</v>
      </c>
      <c r="BN22" s="79">
        <f>BL22/BL29</f>
        <v>0</v>
      </c>
      <c r="BO22" s="122"/>
      <c r="BP22" s="72" t="s">
        <v>53</v>
      </c>
      <c r="BQ22" s="76"/>
      <c r="BR22" s="77"/>
      <c r="BS22" s="78">
        <f>BQ22/BQ29</f>
        <v>0</v>
      </c>
      <c r="BT22" s="79">
        <f>BR22/BR29</f>
        <v>0</v>
      </c>
    </row>
    <row r="23" spans="1:72" x14ac:dyDescent="0.2">
      <c r="A23" s="129" t="s">
        <v>25</v>
      </c>
      <c r="B23" s="51" t="s">
        <v>51</v>
      </c>
      <c r="C23" s="27">
        <f>209+124+157</f>
        <v>490</v>
      </c>
      <c r="D23" s="1">
        <v>605</v>
      </c>
      <c r="E23" s="28">
        <f t="shared" si="12"/>
        <v>-115</v>
      </c>
      <c r="F23" s="29">
        <f>C23/$H$22</f>
        <v>0.24173655648741985</v>
      </c>
      <c r="G23" s="30">
        <v>0.29794050343249401</v>
      </c>
      <c r="H23" s="27">
        <v>520</v>
      </c>
      <c r="I23" s="1">
        <v>605</v>
      </c>
      <c r="J23" s="28">
        <f t="shared" si="13"/>
        <v>-85</v>
      </c>
      <c r="K23" s="29">
        <f>H23/$H$22</f>
        <v>0.25653675382338431</v>
      </c>
      <c r="L23" s="30">
        <v>0.29794050343249401</v>
      </c>
      <c r="M23" s="27">
        <v>521</v>
      </c>
      <c r="N23" s="1">
        <v>585.9</v>
      </c>
      <c r="O23" s="28">
        <f t="shared" si="14"/>
        <v>-64.899999999999977</v>
      </c>
      <c r="P23" s="29">
        <f t="shared" ref="P23:P27" si="24">M23/$M$22</f>
        <v>0.26731657260133401</v>
      </c>
      <c r="Q23" s="30">
        <v>0.29794050343249401</v>
      </c>
      <c r="R23" s="27">
        <v>558</v>
      </c>
      <c r="S23" s="1">
        <v>605.42999999999995</v>
      </c>
      <c r="T23" s="28">
        <f t="shared" si="16"/>
        <v>-47.42999999999995</v>
      </c>
      <c r="U23" s="29">
        <f t="shared" ref="U23:U27" si="25">R23/$R$22</f>
        <v>0.27259404005862237</v>
      </c>
      <c r="V23" s="30">
        <v>0.29794050343249401</v>
      </c>
      <c r="W23" s="27">
        <v>540</v>
      </c>
      <c r="X23" s="1">
        <v>585.9</v>
      </c>
      <c r="Y23" s="28">
        <f t="shared" si="18"/>
        <v>-45.899999999999977</v>
      </c>
      <c r="Z23" s="29">
        <f t="shared" si="23"/>
        <v>0.27341772151898736</v>
      </c>
      <c r="AA23" s="30">
        <v>0.29794050343249401</v>
      </c>
      <c r="AB23" s="27">
        <v>504</v>
      </c>
      <c r="AC23" s="1">
        <v>605.42999999999995</v>
      </c>
      <c r="AD23" s="28">
        <f>AB23-AC23</f>
        <v>-101.42999999999995</v>
      </c>
      <c r="AE23" s="29">
        <v>0.247787610619469</v>
      </c>
      <c r="AF23" s="30">
        <v>0.29794050343249401</v>
      </c>
      <c r="AG23" s="27">
        <v>493</v>
      </c>
      <c r="AH23" s="1">
        <v>566.37</v>
      </c>
      <c r="AI23" s="28">
        <v>-73.369999999999706</v>
      </c>
      <c r="AJ23" s="29">
        <v>0.253340184994861</v>
      </c>
      <c r="AK23" s="30">
        <v>0.29794050343249401</v>
      </c>
      <c r="AL23" s="27">
        <v>555</v>
      </c>
      <c r="AM23" s="1">
        <v>605.42999999999995</v>
      </c>
      <c r="AN23" s="28">
        <v>-50.429999999999602</v>
      </c>
      <c r="AO23" s="29">
        <v>0.26453765490943798</v>
      </c>
      <c r="AP23" s="30">
        <v>0.29794050343249401</v>
      </c>
      <c r="AQ23" s="22">
        <f t="shared" si="0"/>
        <v>4181</v>
      </c>
      <c r="AR23" s="23">
        <f t="shared" si="1"/>
        <v>4764.4599999999991</v>
      </c>
      <c r="AS23" s="44">
        <f t="shared" si="2"/>
        <v>-583.45999999999913</v>
      </c>
      <c r="AT23" s="63">
        <f>AQ23/AQ22</f>
        <v>0.26136150528224045</v>
      </c>
      <c r="AU23" s="52"/>
      <c r="BD23" s="72" t="s">
        <v>52</v>
      </c>
      <c r="BE23" s="76"/>
      <c r="BF23" s="77"/>
      <c r="BG23" s="78">
        <f>BE23/BE29</f>
        <v>0</v>
      </c>
      <c r="BH23" s="79">
        <f>BF23/BF29</f>
        <v>0</v>
      </c>
      <c r="BI23" s="122"/>
      <c r="BJ23" s="72" t="s">
        <v>52</v>
      </c>
      <c r="BK23" s="76">
        <f>M17+R17+W17</f>
        <v>18</v>
      </c>
      <c r="BL23" s="77">
        <f>N17+S17+X17</f>
        <v>0</v>
      </c>
      <c r="BM23" s="78">
        <f>BK23/BK29</f>
        <v>5.9701492537313433E-3</v>
      </c>
      <c r="BN23" s="79">
        <f>BL23/BL29</f>
        <v>0</v>
      </c>
      <c r="BO23" s="122"/>
      <c r="BP23" s="72" t="s">
        <v>52</v>
      </c>
      <c r="BQ23" s="76">
        <f>C17+H17</f>
        <v>52</v>
      </c>
      <c r="BR23" s="77">
        <f>D17+I17</f>
        <v>0</v>
      </c>
      <c r="BS23" s="78">
        <f>BQ23/BQ29</f>
        <v>2.2241231822070145E-2</v>
      </c>
      <c r="BT23" s="79">
        <f>BR23/BR29</f>
        <v>0</v>
      </c>
    </row>
    <row r="24" spans="1:72" x14ac:dyDescent="0.2">
      <c r="A24" s="129" t="s">
        <v>25</v>
      </c>
      <c r="B24" s="51" t="s">
        <v>50</v>
      </c>
      <c r="C24" s="27">
        <v>62</v>
      </c>
      <c r="D24" s="1">
        <v>0</v>
      </c>
      <c r="E24" s="69">
        <f t="shared" si="12"/>
        <v>62</v>
      </c>
      <c r="F24" s="29">
        <f t="shared" ref="F24:F27" si="26">C24/$H$22</f>
        <v>3.0587074494326592E-2</v>
      </c>
      <c r="G24" s="30" t="s">
        <v>24</v>
      </c>
      <c r="H24" s="27">
        <v>93</v>
      </c>
      <c r="I24" s="1">
        <v>0</v>
      </c>
      <c r="J24" s="69">
        <f t="shared" si="13"/>
        <v>93</v>
      </c>
      <c r="K24" s="29">
        <f t="shared" ref="K24:K27" si="27">H24/$H$22</f>
        <v>4.5880611741489885E-2</v>
      </c>
      <c r="L24" s="30" t="s">
        <v>24</v>
      </c>
      <c r="M24" s="27">
        <v>57</v>
      </c>
      <c r="N24" s="1">
        <v>0</v>
      </c>
      <c r="O24" s="69">
        <f t="shared" si="14"/>
        <v>57</v>
      </c>
      <c r="P24" s="29">
        <f t="shared" si="24"/>
        <v>2.9245767060030785E-2</v>
      </c>
      <c r="Q24" s="30" t="s">
        <v>24</v>
      </c>
      <c r="R24" s="27">
        <v>8</v>
      </c>
      <c r="S24" s="1">
        <v>0</v>
      </c>
      <c r="T24" s="69">
        <f t="shared" si="16"/>
        <v>8</v>
      </c>
      <c r="U24" s="29">
        <f t="shared" si="25"/>
        <v>3.9081582804103565E-3</v>
      </c>
      <c r="V24" s="30" t="s">
        <v>24</v>
      </c>
      <c r="W24" s="27">
        <v>23</v>
      </c>
      <c r="X24" s="1">
        <v>0</v>
      </c>
      <c r="Y24" s="69">
        <f t="shared" si="18"/>
        <v>23</v>
      </c>
      <c r="Z24" s="29">
        <f t="shared" si="23"/>
        <v>1.1645569620253165E-2</v>
      </c>
      <c r="AA24" s="30" t="s">
        <v>24</v>
      </c>
      <c r="AB24" s="27">
        <v>80</v>
      </c>
      <c r="AC24" s="1">
        <v>0</v>
      </c>
      <c r="AD24" s="69">
        <f t="shared" ref="AD24:AD27" si="28">AB24-AC24</f>
        <v>80</v>
      </c>
      <c r="AE24" s="29">
        <v>3.9331366764995102E-2</v>
      </c>
      <c r="AF24" s="30">
        <v>0</v>
      </c>
      <c r="AG24" s="27">
        <v>58</v>
      </c>
      <c r="AH24" s="1">
        <v>0</v>
      </c>
      <c r="AI24" s="31">
        <v>58</v>
      </c>
      <c r="AJ24" s="29">
        <v>2.9804727646454299E-2</v>
      </c>
      <c r="AK24" s="30">
        <v>0</v>
      </c>
      <c r="AL24" s="27">
        <v>62</v>
      </c>
      <c r="AM24" s="1">
        <v>0</v>
      </c>
      <c r="AN24" s="31">
        <v>62</v>
      </c>
      <c r="AO24" s="29">
        <v>2.95519542421354E-2</v>
      </c>
      <c r="AP24" s="30">
        <v>0</v>
      </c>
      <c r="AQ24" s="22">
        <f t="shared" si="0"/>
        <v>443</v>
      </c>
      <c r="AR24" s="23">
        <f t="shared" si="1"/>
        <v>0</v>
      </c>
      <c r="AS24" s="44">
        <f t="shared" si="2"/>
        <v>443</v>
      </c>
      <c r="AT24" s="63">
        <f>AQ24/AQ22</f>
        <v>2.7692692379821218E-2</v>
      </c>
      <c r="AU24" s="52"/>
      <c r="BD24" s="72" t="s">
        <v>51</v>
      </c>
      <c r="BE24" s="76">
        <f>AB16+AG16+AL16</f>
        <v>1046</v>
      </c>
      <c r="BF24" s="77">
        <f>AC16+AH16+AM16</f>
        <v>1270.3599999999999</v>
      </c>
      <c r="BG24" s="78">
        <f>BE24/BE29</f>
        <v>0.34959893048128343</v>
      </c>
      <c r="BH24" s="79">
        <f>BF24/BF29</f>
        <v>0.34899999999999998</v>
      </c>
      <c r="BI24" s="122"/>
      <c r="BJ24" s="72" t="s">
        <v>51</v>
      </c>
      <c r="BK24" s="76">
        <f>M16+R16+W16</f>
        <v>1108</v>
      </c>
      <c r="BL24" s="77">
        <f>N16+S16+X16</f>
        <v>1270.3599999999999</v>
      </c>
      <c r="BM24" s="78">
        <f>BK24/BK29</f>
        <v>0.36749585406301827</v>
      </c>
      <c r="BN24" s="79">
        <f>BL24/BL29</f>
        <v>0.34899999999999998</v>
      </c>
      <c r="BO24" s="122"/>
      <c r="BP24" s="72" t="s">
        <v>51</v>
      </c>
      <c r="BQ24" s="76">
        <f>C16+H16</f>
        <v>836</v>
      </c>
      <c r="BR24" s="77">
        <f>D16+I16</f>
        <v>866</v>
      </c>
      <c r="BS24" s="78">
        <f>BQ24/BQ29</f>
        <v>0.35757057313943541</v>
      </c>
      <c r="BT24" s="79">
        <f>BR24/BR29</f>
        <v>0.34891216760676874</v>
      </c>
    </row>
    <row r="25" spans="1:72" x14ac:dyDescent="0.2">
      <c r="A25" s="129" t="s">
        <v>25</v>
      </c>
      <c r="B25" s="51" t="s">
        <v>49</v>
      </c>
      <c r="C25" s="27">
        <f>6+16+2+17</f>
        <v>41</v>
      </c>
      <c r="D25" s="1">
        <v>74</v>
      </c>
      <c r="E25" s="89">
        <f t="shared" si="12"/>
        <v>-33</v>
      </c>
      <c r="F25" s="29">
        <f t="shared" si="26"/>
        <v>2.0226936359151456E-2</v>
      </c>
      <c r="G25" s="30">
        <v>3.6460717009916099E-2</v>
      </c>
      <c r="H25" s="27">
        <v>59</v>
      </c>
      <c r="I25" s="1">
        <v>74</v>
      </c>
      <c r="J25" s="89">
        <f t="shared" si="13"/>
        <v>-15</v>
      </c>
      <c r="K25" s="29">
        <f t="shared" si="27"/>
        <v>2.9107054760730142E-2</v>
      </c>
      <c r="L25" s="30">
        <v>3.6460717009916099E-2</v>
      </c>
      <c r="M25" s="27">
        <f>3+62+30</f>
        <v>95</v>
      </c>
      <c r="N25" s="1">
        <v>71.7</v>
      </c>
      <c r="O25" s="69">
        <f t="shared" si="14"/>
        <v>23.299999999999997</v>
      </c>
      <c r="P25" s="29">
        <f t="shared" si="24"/>
        <v>4.874294510005131E-2</v>
      </c>
      <c r="Q25" s="30">
        <v>3.6460717009916099E-2</v>
      </c>
      <c r="R25" s="27">
        <f>30+17+12</f>
        <v>59</v>
      </c>
      <c r="S25" s="1">
        <v>74.09</v>
      </c>
      <c r="T25" s="28">
        <f t="shared" si="16"/>
        <v>-15.090000000000003</v>
      </c>
      <c r="U25" s="29">
        <f t="shared" si="25"/>
        <v>2.8822667318026379E-2</v>
      </c>
      <c r="V25" s="30">
        <v>3.6460717009916099E-2</v>
      </c>
      <c r="W25" s="27">
        <f>5+30+14+11</f>
        <v>60</v>
      </c>
      <c r="X25" s="1">
        <v>71.7</v>
      </c>
      <c r="Y25" s="28">
        <f t="shared" si="18"/>
        <v>-11.700000000000003</v>
      </c>
      <c r="Z25" s="29">
        <f t="shared" si="23"/>
        <v>3.0379746835443037E-2</v>
      </c>
      <c r="AA25" s="30">
        <v>3.6460717009916099E-2</v>
      </c>
      <c r="AB25" s="27">
        <v>58</v>
      </c>
      <c r="AC25" s="1">
        <v>74.09</v>
      </c>
      <c r="AD25" s="28">
        <f t="shared" si="28"/>
        <v>-16.090000000000003</v>
      </c>
      <c r="AE25" s="29">
        <v>2.8515240904621399E-2</v>
      </c>
      <c r="AF25" s="30">
        <v>3.6460717009916099E-2</v>
      </c>
      <c r="AG25" s="27">
        <v>77</v>
      </c>
      <c r="AH25" s="1">
        <v>69.31</v>
      </c>
      <c r="AI25" s="31">
        <v>7.69</v>
      </c>
      <c r="AJ25" s="29">
        <v>3.9568345323740997E-2</v>
      </c>
      <c r="AK25" s="30">
        <v>3.6460717009916099E-2</v>
      </c>
      <c r="AL25" s="27">
        <v>28</v>
      </c>
      <c r="AM25" s="1">
        <v>74.09</v>
      </c>
      <c r="AN25" s="28">
        <v>-46.09</v>
      </c>
      <c r="AO25" s="29">
        <v>1.33460438512869E-2</v>
      </c>
      <c r="AP25" s="30">
        <v>3.6460717009916099E-2</v>
      </c>
      <c r="AQ25" s="22">
        <f t="shared" si="0"/>
        <v>477</v>
      </c>
      <c r="AR25" s="23">
        <f t="shared" si="1"/>
        <v>582.98</v>
      </c>
      <c r="AS25" s="44">
        <f t="shared" si="2"/>
        <v>-105.98000000000002</v>
      </c>
      <c r="AT25" s="63">
        <f>AQ25/AQ22</f>
        <v>2.9818090892042258E-2</v>
      </c>
      <c r="AU25" s="52"/>
      <c r="BD25" s="72" t="s">
        <v>50</v>
      </c>
      <c r="BE25" s="76"/>
      <c r="BF25" s="77"/>
      <c r="BG25" s="78">
        <f>BE25/BE29</f>
        <v>0</v>
      </c>
      <c r="BH25" s="79">
        <f>BF25/BF29</f>
        <v>0</v>
      </c>
      <c r="BI25" s="122"/>
      <c r="BJ25" s="72" t="s">
        <v>50</v>
      </c>
      <c r="BK25" s="76">
        <f t="shared" ref="BK25:BL28" si="29">M18+R18+W18</f>
        <v>10</v>
      </c>
      <c r="BL25" s="77">
        <f t="shared" si="29"/>
        <v>0</v>
      </c>
      <c r="BM25" s="78">
        <f>BK25/BK29</f>
        <v>3.3167495854063019E-3</v>
      </c>
      <c r="BN25" s="79">
        <f>BL25/BL29</f>
        <v>0</v>
      </c>
      <c r="BO25" s="122"/>
      <c r="BP25" s="72" t="s">
        <v>50</v>
      </c>
      <c r="BQ25" s="76">
        <f t="shared" ref="BQ25:BR28" si="30">C18+H18</f>
        <v>62</v>
      </c>
      <c r="BR25" s="77">
        <f t="shared" si="30"/>
        <v>0</v>
      </c>
      <c r="BS25" s="78">
        <f>BQ25/BQ29</f>
        <v>2.6518391787852865E-2</v>
      </c>
      <c r="BT25" s="79">
        <f>BR25/BR29</f>
        <v>0</v>
      </c>
    </row>
    <row r="26" spans="1:72" x14ac:dyDescent="0.2">
      <c r="A26" s="129" t="s">
        <v>25</v>
      </c>
      <c r="B26" s="51" t="s">
        <v>48</v>
      </c>
      <c r="C26" s="27">
        <v>77</v>
      </c>
      <c r="D26" s="1">
        <v>129</v>
      </c>
      <c r="E26" s="28">
        <f t="shared" si="12"/>
        <v>-52</v>
      </c>
      <c r="F26" s="29">
        <f t="shared" si="26"/>
        <v>3.7987173162308832E-2</v>
      </c>
      <c r="G26" s="30">
        <v>6.3463005339435496E-2</v>
      </c>
      <c r="H26" s="27">
        <v>123</v>
      </c>
      <c r="I26" s="1">
        <v>129</v>
      </c>
      <c r="J26" s="28">
        <f t="shared" si="13"/>
        <v>-6</v>
      </c>
      <c r="K26" s="29">
        <f t="shared" si="27"/>
        <v>6.0680809077454365E-2</v>
      </c>
      <c r="L26" s="30">
        <v>6.3463005339435496E-2</v>
      </c>
      <c r="M26" s="27">
        <v>88</v>
      </c>
      <c r="N26" s="1">
        <v>124.8</v>
      </c>
      <c r="O26" s="28">
        <f t="shared" si="14"/>
        <v>-36.799999999999997</v>
      </c>
      <c r="P26" s="29">
        <f t="shared" si="24"/>
        <v>4.5151359671626472E-2</v>
      </c>
      <c r="Q26" s="30">
        <v>6.3463005339435496E-2</v>
      </c>
      <c r="R26" s="27">
        <v>124</v>
      </c>
      <c r="S26" s="1">
        <v>128.96</v>
      </c>
      <c r="T26" s="28">
        <f t="shared" si="16"/>
        <v>-4.960000000000008</v>
      </c>
      <c r="U26" s="29">
        <f t="shared" si="25"/>
        <v>6.0576453346360526E-2</v>
      </c>
      <c r="V26" s="30">
        <v>6.3463005339435496E-2</v>
      </c>
      <c r="W26" s="27">
        <v>177</v>
      </c>
      <c r="X26" s="1">
        <v>124.8</v>
      </c>
      <c r="Y26" s="69">
        <f t="shared" si="18"/>
        <v>52.2</v>
      </c>
      <c r="Z26" s="29">
        <f t="shared" si="23"/>
        <v>8.9620253164556962E-2</v>
      </c>
      <c r="AA26" s="30">
        <v>6.3463005339435496E-2</v>
      </c>
      <c r="AB26" s="27">
        <v>141</v>
      </c>
      <c r="AC26" s="1">
        <v>128.96</v>
      </c>
      <c r="AD26" s="69">
        <f t="shared" si="28"/>
        <v>12.039999999999992</v>
      </c>
      <c r="AE26" s="29">
        <v>6.9321533923303799E-2</v>
      </c>
      <c r="AF26" s="30">
        <v>6.3463005339435496E-2</v>
      </c>
      <c r="AG26" s="27">
        <v>55</v>
      </c>
      <c r="AH26" s="1">
        <v>120.64</v>
      </c>
      <c r="AI26" s="28">
        <v>-65.639999999999901</v>
      </c>
      <c r="AJ26" s="29">
        <v>2.82631038026721E-2</v>
      </c>
      <c r="AK26" s="30">
        <v>6.3463005339435496E-2</v>
      </c>
      <c r="AL26" s="27">
        <v>36</v>
      </c>
      <c r="AM26" s="1">
        <v>128.96</v>
      </c>
      <c r="AN26" s="28">
        <v>-92.959999999999894</v>
      </c>
      <c r="AO26" s="29">
        <v>1.7159199237368899E-2</v>
      </c>
      <c r="AP26" s="30">
        <v>6.3463005339435496E-2</v>
      </c>
      <c r="AQ26" s="22">
        <f t="shared" si="0"/>
        <v>821</v>
      </c>
      <c r="AR26" s="23">
        <f t="shared" si="1"/>
        <v>1015.12</v>
      </c>
      <c r="AS26" s="44">
        <f t="shared" si="2"/>
        <v>-194.12</v>
      </c>
      <c r="AT26" s="63">
        <f>AQ26/AQ22</f>
        <v>5.1322122898043381E-2</v>
      </c>
      <c r="AU26" s="52"/>
      <c r="BD26" s="72" t="s">
        <v>49</v>
      </c>
      <c r="BE26" s="76">
        <f t="shared" ref="BE26:BF28" si="31">AB19+AG19+AL19</f>
        <v>75</v>
      </c>
      <c r="BF26" s="77">
        <f t="shared" si="31"/>
        <v>0</v>
      </c>
      <c r="BG26" s="78">
        <f>BE26/BE29</f>
        <v>2.5066844919786096E-2</v>
      </c>
      <c r="BH26" s="79">
        <f>BF26/BF29</f>
        <v>0</v>
      </c>
      <c r="BI26" s="122"/>
      <c r="BJ26" s="72" t="s">
        <v>49</v>
      </c>
      <c r="BK26" s="76">
        <f t="shared" si="29"/>
        <v>28</v>
      </c>
      <c r="BL26" s="77">
        <f t="shared" si="29"/>
        <v>0</v>
      </c>
      <c r="BM26" s="78">
        <f>BK26/BK29</f>
        <v>9.2868988391376448E-3</v>
      </c>
      <c r="BN26" s="79">
        <f>BL26/BL29</f>
        <v>0</v>
      </c>
      <c r="BO26" s="122"/>
      <c r="BP26" s="72" t="s">
        <v>49</v>
      </c>
      <c r="BQ26" s="76">
        <f t="shared" si="30"/>
        <v>20</v>
      </c>
      <c r="BR26" s="77">
        <f t="shared" si="30"/>
        <v>0</v>
      </c>
      <c r="BS26" s="78">
        <f>BQ26/BQ29</f>
        <v>8.5543199315654406E-3</v>
      </c>
      <c r="BT26" s="79">
        <f>BR26/BR29</f>
        <v>0</v>
      </c>
    </row>
    <row r="27" spans="1:72" ht="13.5" thickBot="1" x14ac:dyDescent="0.25">
      <c r="A27" s="126" t="s">
        <v>25</v>
      </c>
      <c r="B27" s="53" t="s">
        <v>47</v>
      </c>
      <c r="C27" s="32">
        <v>1251</v>
      </c>
      <c r="D27" s="33">
        <v>1224</v>
      </c>
      <c r="E27" s="70">
        <f t="shared" si="12"/>
        <v>27</v>
      </c>
      <c r="F27" s="29">
        <f t="shared" si="26"/>
        <v>0.61716822890971879</v>
      </c>
      <c r="G27" s="36">
        <v>0.60213577421815501</v>
      </c>
      <c r="H27" s="32">
        <v>1232</v>
      </c>
      <c r="I27" s="33">
        <v>1224</v>
      </c>
      <c r="J27" s="70">
        <f t="shared" si="13"/>
        <v>8</v>
      </c>
      <c r="K27" s="29">
        <f t="shared" si="27"/>
        <v>0.60779477059694131</v>
      </c>
      <c r="L27" s="36">
        <v>0.60213577421815501</v>
      </c>
      <c r="M27" s="32">
        <v>1188</v>
      </c>
      <c r="N27" s="33">
        <v>1184.0999999999999</v>
      </c>
      <c r="O27" s="70">
        <f t="shared" si="14"/>
        <v>3.9000000000000909</v>
      </c>
      <c r="P27" s="35">
        <f t="shared" si="24"/>
        <v>0.60954335556695738</v>
      </c>
      <c r="Q27" s="36">
        <v>0.60213577421815501</v>
      </c>
      <c r="R27" s="32">
        <v>1298</v>
      </c>
      <c r="S27" s="33">
        <v>1223.57</v>
      </c>
      <c r="T27" s="70">
        <f t="shared" si="16"/>
        <v>74.430000000000064</v>
      </c>
      <c r="U27" s="35">
        <f t="shared" si="25"/>
        <v>0.6340986809965804</v>
      </c>
      <c r="V27" s="36">
        <v>0.60213577421815501</v>
      </c>
      <c r="W27" s="32">
        <v>1175</v>
      </c>
      <c r="X27" s="33">
        <v>1184.0999999999999</v>
      </c>
      <c r="Y27" s="34">
        <f t="shared" si="18"/>
        <v>-9.0999999999999091</v>
      </c>
      <c r="Z27" s="35">
        <f t="shared" si="23"/>
        <v>0.59493670886075944</v>
      </c>
      <c r="AA27" s="36">
        <v>0.60213577421815501</v>
      </c>
      <c r="AB27" s="32">
        <v>1251</v>
      </c>
      <c r="AC27" s="33">
        <v>1223.57</v>
      </c>
      <c r="AD27" s="69">
        <f t="shared" si="28"/>
        <v>27.430000000000064</v>
      </c>
      <c r="AE27" s="35">
        <v>0.61504424778761102</v>
      </c>
      <c r="AF27" s="36">
        <v>0.60213577421815501</v>
      </c>
      <c r="AG27" s="32">
        <v>1263</v>
      </c>
      <c r="AH27" s="33">
        <v>1144.6300000000001</v>
      </c>
      <c r="AI27" s="62">
        <v>118.369999999999</v>
      </c>
      <c r="AJ27" s="35">
        <v>0.64902363823227105</v>
      </c>
      <c r="AK27" s="36">
        <v>0.60213577421815501</v>
      </c>
      <c r="AL27" s="32">
        <v>1417</v>
      </c>
      <c r="AM27" s="33">
        <v>1223.57</v>
      </c>
      <c r="AN27" s="62">
        <v>193.42999999999901</v>
      </c>
      <c r="AO27" s="35">
        <v>0.67540514775977101</v>
      </c>
      <c r="AP27" s="36">
        <v>0.60213577421815501</v>
      </c>
      <c r="AQ27" s="40">
        <f t="shared" si="0"/>
        <v>10075</v>
      </c>
      <c r="AR27" s="41">
        <f t="shared" si="1"/>
        <v>9631.5400000000009</v>
      </c>
      <c r="AS27" s="42">
        <f t="shared" si="2"/>
        <v>443.45999999999913</v>
      </c>
      <c r="AT27" s="68">
        <f>AQ27/AQ22</f>
        <v>0.62980558854785273</v>
      </c>
      <c r="AU27" s="54"/>
      <c r="BD27" s="72" t="s">
        <v>48</v>
      </c>
      <c r="BE27" s="76">
        <f t="shared" si="31"/>
        <v>419</v>
      </c>
      <c r="BF27" s="77">
        <f t="shared" si="31"/>
        <v>318.5</v>
      </c>
      <c r="BG27" s="78">
        <f>BE27/BE29</f>
        <v>0.14004010695187166</v>
      </c>
      <c r="BH27" s="79">
        <f>BF27/BF29</f>
        <v>8.7499999999999994E-2</v>
      </c>
      <c r="BI27" s="122"/>
      <c r="BJ27" s="72" t="s">
        <v>48</v>
      </c>
      <c r="BK27" s="76">
        <f t="shared" si="29"/>
        <v>385</v>
      </c>
      <c r="BL27" s="77">
        <f t="shared" si="29"/>
        <v>318.5</v>
      </c>
      <c r="BM27" s="78">
        <f>BK27/BK29</f>
        <v>0.12769485903814262</v>
      </c>
      <c r="BN27" s="79">
        <f>BL27/BL29</f>
        <v>8.7499999999999994E-2</v>
      </c>
      <c r="BO27" s="122"/>
      <c r="BP27" s="72" t="s">
        <v>48</v>
      </c>
      <c r="BQ27" s="76">
        <f t="shared" si="30"/>
        <v>276</v>
      </c>
      <c r="BR27" s="77">
        <f t="shared" si="30"/>
        <v>218</v>
      </c>
      <c r="BS27" s="78">
        <f>BQ27/BQ29</f>
        <v>0.11804961505560307</v>
      </c>
      <c r="BT27" s="79">
        <f>BR27/BR29</f>
        <v>8.7832393231265113E-2</v>
      </c>
    </row>
    <row r="28" spans="1:72" x14ac:dyDescent="0.2">
      <c r="A28" s="123" t="s">
        <v>29</v>
      </c>
      <c r="B28" s="38" t="s">
        <v>18</v>
      </c>
      <c r="C28" s="55">
        <f>SUM(C29:C34)</f>
        <v>1902</v>
      </c>
      <c r="D28" s="56">
        <f>SUM(D29:D34)</f>
        <v>1875</v>
      </c>
      <c r="E28" s="71">
        <f t="shared" si="12"/>
        <v>27</v>
      </c>
      <c r="F28" s="58">
        <f>C28/$H$28</f>
        <v>0.98294573643410854</v>
      </c>
      <c r="G28" s="59">
        <v>0.999999999999998</v>
      </c>
      <c r="H28" s="55">
        <f>SUM(H29:H34)</f>
        <v>1935</v>
      </c>
      <c r="I28" s="56">
        <f>SUM(I29:I34)</f>
        <v>1875</v>
      </c>
      <c r="J28" s="71">
        <f t="shared" si="13"/>
        <v>60</v>
      </c>
      <c r="K28" s="58">
        <f>H28/$H$28</f>
        <v>1</v>
      </c>
      <c r="L28" s="59">
        <v>0.999999999999998</v>
      </c>
      <c r="M28" s="55">
        <f>SUM(M29:M34)</f>
        <v>1859</v>
      </c>
      <c r="N28" s="55">
        <f>SUM(N29:N34)</f>
        <v>1815</v>
      </c>
      <c r="O28" s="71">
        <f t="shared" si="14"/>
        <v>44</v>
      </c>
      <c r="P28" s="58">
        <f>M28/$M$28</f>
        <v>1</v>
      </c>
      <c r="Q28" s="59">
        <v>0.999999999999998</v>
      </c>
      <c r="R28" s="55">
        <f>SUM(R29:R34)</f>
        <v>1914</v>
      </c>
      <c r="S28" s="55">
        <f>SUM(S29:S34)</f>
        <v>1875.5</v>
      </c>
      <c r="T28" s="57">
        <f t="shared" si="16"/>
        <v>38.5</v>
      </c>
      <c r="U28" s="58">
        <f>R28/$R$28</f>
        <v>1</v>
      </c>
      <c r="V28" s="59">
        <v>0.999999999999998</v>
      </c>
      <c r="W28" s="55">
        <f>SUM(W29:W34)</f>
        <v>1848</v>
      </c>
      <c r="X28" s="55">
        <f>SUM(X29:X34)</f>
        <v>1815</v>
      </c>
      <c r="Y28" s="57">
        <f t="shared" si="18"/>
        <v>33</v>
      </c>
      <c r="Z28" s="58">
        <f>W28/$W$28</f>
        <v>1</v>
      </c>
      <c r="AA28" s="59">
        <v>0.999999999999998</v>
      </c>
      <c r="AB28" s="55">
        <f>SUM(AB29:AB34)</f>
        <v>1904</v>
      </c>
      <c r="AC28" s="55">
        <f>SUM(AC29:AC34)</f>
        <v>1875.5</v>
      </c>
      <c r="AD28" s="61">
        <v>28.500000000003201</v>
      </c>
      <c r="AE28" s="58">
        <v>1</v>
      </c>
      <c r="AF28" s="59">
        <v>0.999999999999998</v>
      </c>
      <c r="AG28" s="55">
        <f>SUM(AG29:AG34)</f>
        <v>1828</v>
      </c>
      <c r="AH28" s="55">
        <f>SUM(AH29:AH34)</f>
        <v>1754.5</v>
      </c>
      <c r="AI28" s="61">
        <v>73.5000000000027</v>
      </c>
      <c r="AJ28" s="58">
        <v>1</v>
      </c>
      <c r="AK28" s="59">
        <v>0.999999999999998</v>
      </c>
      <c r="AL28" s="55">
        <f>SUM(AL29:AL34)</f>
        <v>1896</v>
      </c>
      <c r="AM28" s="55">
        <f>SUM(AM29:AM34)</f>
        <v>1875.5</v>
      </c>
      <c r="AN28" s="61">
        <v>20.500000000003201</v>
      </c>
      <c r="AO28" s="58">
        <v>1</v>
      </c>
      <c r="AP28" s="59">
        <v>0.999999999999998</v>
      </c>
      <c r="AQ28" s="22">
        <f t="shared" si="0"/>
        <v>15086</v>
      </c>
      <c r="AR28" s="23">
        <f t="shared" si="1"/>
        <v>14761</v>
      </c>
      <c r="AS28" s="67">
        <f t="shared" si="2"/>
        <v>325</v>
      </c>
      <c r="AT28" s="65">
        <f>AQ28/AQ28</f>
        <v>1</v>
      </c>
      <c r="AU28" s="60"/>
      <c r="BD28" s="72" t="s">
        <v>47</v>
      </c>
      <c r="BE28" s="76">
        <f t="shared" si="31"/>
        <v>1452</v>
      </c>
      <c r="BF28" s="77">
        <f t="shared" si="31"/>
        <v>2051.1400000000003</v>
      </c>
      <c r="BG28" s="78">
        <f>BE28/BE29</f>
        <v>0.48529411764705882</v>
      </c>
      <c r="BH28" s="79">
        <f>BF28/BF29</f>
        <v>0.56350000000000011</v>
      </c>
      <c r="BI28" s="122"/>
      <c r="BJ28" s="72" t="s">
        <v>47</v>
      </c>
      <c r="BK28" s="76">
        <f t="shared" si="29"/>
        <v>1466</v>
      </c>
      <c r="BL28" s="77">
        <f t="shared" si="29"/>
        <v>2051.1400000000003</v>
      </c>
      <c r="BM28" s="78">
        <f>BK28/BK29</f>
        <v>0.48623548922056387</v>
      </c>
      <c r="BN28" s="79">
        <f>BL28/BL29</f>
        <v>0.56350000000000011</v>
      </c>
      <c r="BO28" s="122"/>
      <c r="BP28" s="72" t="s">
        <v>47</v>
      </c>
      <c r="BQ28" s="76">
        <f t="shared" si="30"/>
        <v>1092</v>
      </c>
      <c r="BR28" s="77">
        <f t="shared" si="30"/>
        <v>1398</v>
      </c>
      <c r="BS28" s="78">
        <f>BQ28/BQ29</f>
        <v>0.46706586826347307</v>
      </c>
      <c r="BT28" s="79">
        <f>BR28/BR29</f>
        <v>0.56325543916196619</v>
      </c>
    </row>
    <row r="29" spans="1:72" ht="13.5" thickBot="1" x14ac:dyDescent="0.25">
      <c r="A29" s="129" t="s">
        <v>29</v>
      </c>
      <c r="B29" s="51" t="s">
        <v>51</v>
      </c>
      <c r="C29" s="27">
        <f>168+199+399</f>
        <v>766</v>
      </c>
      <c r="D29" s="1">
        <v>860</v>
      </c>
      <c r="E29" s="28">
        <f t="shared" si="12"/>
        <v>-94</v>
      </c>
      <c r="F29" s="29">
        <f>C29/$H$28</f>
        <v>0.39586563307493539</v>
      </c>
      <c r="G29" s="30">
        <v>0.45867768595041303</v>
      </c>
      <c r="H29" s="27">
        <v>797</v>
      </c>
      <c r="I29" s="1">
        <v>860</v>
      </c>
      <c r="J29" s="28">
        <f t="shared" si="13"/>
        <v>-63</v>
      </c>
      <c r="K29" s="29">
        <f>H29/$H$28</f>
        <v>0.41188630490956074</v>
      </c>
      <c r="L29" s="30">
        <v>0.45867768595041303</v>
      </c>
      <c r="M29" s="27">
        <v>774</v>
      </c>
      <c r="N29" s="1">
        <v>832.5</v>
      </c>
      <c r="O29" s="28">
        <f t="shared" si="14"/>
        <v>-58.5</v>
      </c>
      <c r="P29" s="29">
        <f t="shared" ref="P29:P34" si="32">M29/$M$28</f>
        <v>0.41635287789133946</v>
      </c>
      <c r="Q29" s="30">
        <v>0.45867768595041303</v>
      </c>
      <c r="R29" s="27">
        <v>792</v>
      </c>
      <c r="S29" s="1">
        <v>860.25</v>
      </c>
      <c r="T29" s="28">
        <f t="shared" si="16"/>
        <v>-68.25</v>
      </c>
      <c r="U29" s="29">
        <f t="shared" ref="U29:U34" si="33">R29/$R$28</f>
        <v>0.41379310344827586</v>
      </c>
      <c r="V29" s="30">
        <v>0.45867768595041303</v>
      </c>
      <c r="W29" s="27">
        <v>754</v>
      </c>
      <c r="X29" s="1">
        <v>832.5</v>
      </c>
      <c r="Y29" s="28">
        <f t="shared" si="18"/>
        <v>-78.5</v>
      </c>
      <c r="Z29" s="29">
        <f>W29/$W$28</f>
        <v>0.40800865800865799</v>
      </c>
      <c r="AA29" s="30">
        <v>0.45867768595041303</v>
      </c>
      <c r="AB29" s="27">
        <v>780</v>
      </c>
      <c r="AC29" s="1">
        <v>860.25</v>
      </c>
      <c r="AD29" s="28">
        <v>-80.25</v>
      </c>
      <c r="AE29" s="29">
        <v>0.40966386554621798</v>
      </c>
      <c r="AF29" s="30">
        <v>0.45867768595041303</v>
      </c>
      <c r="AG29" s="27">
        <v>783</v>
      </c>
      <c r="AH29" s="1">
        <v>804.75</v>
      </c>
      <c r="AI29" s="28">
        <v>-21.75</v>
      </c>
      <c r="AJ29" s="29">
        <v>0.42833698030634598</v>
      </c>
      <c r="AK29" s="30">
        <v>0.45867768595041303</v>
      </c>
      <c r="AL29" s="27">
        <v>793</v>
      </c>
      <c r="AM29" s="1">
        <v>860.25</v>
      </c>
      <c r="AN29" s="28">
        <v>-67.25</v>
      </c>
      <c r="AO29" s="29">
        <v>0.41824894514767902</v>
      </c>
      <c r="AP29" s="30">
        <v>0.45867768595041303</v>
      </c>
      <c r="AQ29" s="22">
        <f t="shared" si="0"/>
        <v>6239</v>
      </c>
      <c r="AR29" s="23">
        <f t="shared" si="1"/>
        <v>6770.5</v>
      </c>
      <c r="AS29" s="44">
        <f t="shared" si="2"/>
        <v>-531.5</v>
      </c>
      <c r="AT29" s="63">
        <f>AQ29/AQ28</f>
        <v>0.41356224313933448</v>
      </c>
      <c r="AU29" s="52"/>
      <c r="BD29" s="80"/>
      <c r="BE29" s="81">
        <f>SUM(BE22:BE28)</f>
        <v>2992</v>
      </c>
      <c r="BF29" s="82">
        <f>SUM(BF22:BF28)</f>
        <v>3640</v>
      </c>
      <c r="BG29" s="83">
        <f>SUM(BG22:BG28)</f>
        <v>1</v>
      </c>
      <c r="BH29" s="84">
        <f>BF29/BF29</f>
        <v>1</v>
      </c>
      <c r="BI29" s="122"/>
      <c r="BJ29" s="80"/>
      <c r="BK29" s="81">
        <f>SUM(BK22:BK28)</f>
        <v>3015</v>
      </c>
      <c r="BL29" s="82">
        <f>SUM(BL22:BL28)</f>
        <v>3640</v>
      </c>
      <c r="BM29" s="83">
        <f>SUM(BM22:BM28)</f>
        <v>1</v>
      </c>
      <c r="BN29" s="84">
        <f>BL29/BL29</f>
        <v>1</v>
      </c>
      <c r="BO29" s="122"/>
      <c r="BP29" s="80"/>
      <c r="BQ29" s="81">
        <f>SUM(BQ22:BQ28)</f>
        <v>2338</v>
      </c>
      <c r="BR29" s="82">
        <f>SUM(BR22:BR28)</f>
        <v>2482</v>
      </c>
      <c r="BS29" s="83">
        <f>SUM(BS22:BS28)</f>
        <v>1</v>
      </c>
      <c r="BT29" s="84">
        <f>BR29/BR29</f>
        <v>1</v>
      </c>
    </row>
    <row r="30" spans="1:72" x14ac:dyDescent="0.2">
      <c r="A30" s="129"/>
      <c r="B30" s="51" t="s">
        <v>52</v>
      </c>
      <c r="C30" s="27">
        <v>0</v>
      </c>
      <c r="D30" s="1">
        <v>0</v>
      </c>
      <c r="E30" s="69">
        <f t="shared" si="12"/>
        <v>0</v>
      </c>
      <c r="F30" s="29">
        <f t="shared" ref="F30:F34" si="34">C30/$H$28</f>
        <v>0</v>
      </c>
      <c r="G30" s="30"/>
      <c r="H30" s="27">
        <v>28</v>
      </c>
      <c r="I30" s="1">
        <v>0</v>
      </c>
      <c r="J30" s="69">
        <f t="shared" si="13"/>
        <v>28</v>
      </c>
      <c r="K30" s="29">
        <f t="shared" ref="K30:K34" si="35">H30/$H$28</f>
        <v>1.4470284237726097E-2</v>
      </c>
      <c r="L30" s="30"/>
      <c r="M30" s="27">
        <v>6</v>
      </c>
      <c r="N30" s="1">
        <v>0</v>
      </c>
      <c r="O30" s="69">
        <f t="shared" si="14"/>
        <v>6</v>
      </c>
      <c r="P30" s="29">
        <f>M30/M28</f>
        <v>3.2275416890801506E-3</v>
      </c>
      <c r="Q30" s="30"/>
      <c r="R30" s="27">
        <v>12</v>
      </c>
      <c r="S30" s="1"/>
      <c r="T30" s="28"/>
      <c r="U30" s="29"/>
      <c r="V30" s="30"/>
      <c r="W30" s="27">
        <v>0</v>
      </c>
      <c r="X30" s="1">
        <v>0</v>
      </c>
      <c r="Y30" s="69">
        <v>0</v>
      </c>
      <c r="Z30" s="29"/>
      <c r="AA30" s="30"/>
      <c r="AB30" s="27"/>
      <c r="AC30" s="1"/>
      <c r="AD30" s="28"/>
      <c r="AE30" s="29"/>
      <c r="AF30" s="30"/>
      <c r="AG30" s="27"/>
      <c r="AH30" s="1"/>
      <c r="AI30" s="28"/>
      <c r="AJ30" s="29"/>
      <c r="AK30" s="30"/>
      <c r="AL30" s="27"/>
      <c r="AM30" s="1"/>
      <c r="AN30" s="28"/>
      <c r="AO30" s="29"/>
      <c r="AP30" s="30"/>
      <c r="AQ30" s="22">
        <f t="shared" si="0"/>
        <v>46</v>
      </c>
      <c r="AR30" s="23">
        <f t="shared" si="1"/>
        <v>0</v>
      </c>
      <c r="AS30" s="44">
        <f t="shared" si="2"/>
        <v>46</v>
      </c>
      <c r="AT30" s="63">
        <f>AQ30/AQ28</f>
        <v>3.0491846745326792E-3</v>
      </c>
      <c r="AU30" s="52"/>
      <c r="BK30" s="1"/>
    </row>
    <row r="31" spans="1:72" ht="13.5" thickBot="1" x14ac:dyDescent="0.25">
      <c r="A31" s="129" t="s">
        <v>29</v>
      </c>
      <c r="B31" s="51" t="s">
        <v>50</v>
      </c>
      <c r="C31" s="27">
        <v>93</v>
      </c>
      <c r="D31" s="1">
        <v>0</v>
      </c>
      <c r="E31" s="69">
        <f t="shared" si="12"/>
        <v>93</v>
      </c>
      <c r="F31" s="29">
        <f t="shared" si="34"/>
        <v>4.8062015503875968E-2</v>
      </c>
      <c r="G31" s="30" t="s">
        <v>24</v>
      </c>
      <c r="H31" s="27">
        <v>31</v>
      </c>
      <c r="I31" s="1">
        <v>0</v>
      </c>
      <c r="J31" s="69">
        <f t="shared" si="13"/>
        <v>31</v>
      </c>
      <c r="K31" s="29">
        <f t="shared" si="35"/>
        <v>1.6020671834625324E-2</v>
      </c>
      <c r="L31" s="30" t="s">
        <v>24</v>
      </c>
      <c r="M31" s="27">
        <v>30</v>
      </c>
      <c r="N31" s="1">
        <v>0</v>
      </c>
      <c r="O31" s="69">
        <f t="shared" si="14"/>
        <v>30</v>
      </c>
      <c r="P31" s="29">
        <f t="shared" si="32"/>
        <v>1.6137708445400752E-2</v>
      </c>
      <c r="Q31" s="30" t="s">
        <v>24</v>
      </c>
      <c r="R31" s="27">
        <v>0</v>
      </c>
      <c r="S31" s="1">
        <v>0</v>
      </c>
      <c r="T31" s="28">
        <f t="shared" si="16"/>
        <v>0</v>
      </c>
      <c r="U31" s="29">
        <f t="shared" si="33"/>
        <v>0</v>
      </c>
      <c r="V31" s="30" t="s">
        <v>24</v>
      </c>
      <c r="W31" s="27">
        <v>0</v>
      </c>
      <c r="X31" s="1">
        <v>0</v>
      </c>
      <c r="Y31" s="69">
        <f t="shared" si="18"/>
        <v>0</v>
      </c>
      <c r="Z31" s="29">
        <f>W31/$W$28</f>
        <v>0</v>
      </c>
      <c r="AA31" s="30" t="s">
        <v>24</v>
      </c>
      <c r="AB31" s="27">
        <v>31</v>
      </c>
      <c r="AC31" s="1">
        <v>0</v>
      </c>
      <c r="AD31" s="31">
        <v>31</v>
      </c>
      <c r="AE31" s="29">
        <v>1.6281512605042001E-2</v>
      </c>
      <c r="AF31" s="30">
        <v>0</v>
      </c>
      <c r="AG31" s="27">
        <v>29</v>
      </c>
      <c r="AH31" s="1">
        <v>0</v>
      </c>
      <c r="AI31" s="31">
        <v>29</v>
      </c>
      <c r="AJ31" s="29">
        <v>1.5864332603938699E-2</v>
      </c>
      <c r="AK31" s="30">
        <v>0</v>
      </c>
      <c r="AL31" s="27">
        <v>31</v>
      </c>
      <c r="AM31" s="1">
        <v>0</v>
      </c>
      <c r="AN31" s="31">
        <v>31</v>
      </c>
      <c r="AO31" s="29">
        <v>1.6350210970464098E-2</v>
      </c>
      <c r="AP31" s="30">
        <v>0</v>
      </c>
      <c r="AQ31" s="22">
        <f t="shared" si="0"/>
        <v>245</v>
      </c>
      <c r="AR31" s="23">
        <f t="shared" si="1"/>
        <v>0</v>
      </c>
      <c r="AS31" s="44">
        <f t="shared" si="2"/>
        <v>245</v>
      </c>
      <c r="AT31" s="63">
        <f>AQ31/AQ28</f>
        <v>1.6240222723054486E-2</v>
      </c>
      <c r="AU31" s="52"/>
      <c r="BD31" s="121" t="s">
        <v>72</v>
      </c>
      <c r="BE31" s="121"/>
      <c r="BF31" s="121"/>
      <c r="BG31" s="121"/>
      <c r="BH31" s="121"/>
      <c r="BI31" s="3"/>
      <c r="BJ31" s="121" t="s">
        <v>73</v>
      </c>
      <c r="BK31" s="121"/>
      <c r="BL31" s="121"/>
      <c r="BM31" s="121"/>
      <c r="BN31" s="121"/>
      <c r="BO31" s="3"/>
      <c r="BP31" s="121" t="str">
        <f>BP6</f>
        <v>Q3 2024</v>
      </c>
      <c r="BQ31" s="121"/>
      <c r="BR31" s="121"/>
      <c r="BS31" s="121"/>
      <c r="BT31" s="121"/>
    </row>
    <row r="32" spans="1:72" x14ac:dyDescent="0.2">
      <c r="A32" s="129" t="s">
        <v>29</v>
      </c>
      <c r="B32" s="51" t="s">
        <v>49</v>
      </c>
      <c r="C32" s="27">
        <f>64+15</f>
        <v>79</v>
      </c>
      <c r="D32" s="1">
        <v>158</v>
      </c>
      <c r="E32" s="28">
        <f t="shared" si="12"/>
        <v>-79</v>
      </c>
      <c r="F32" s="29">
        <f t="shared" si="34"/>
        <v>4.0826873385012917E-2</v>
      </c>
      <c r="G32" s="30">
        <v>8.44628099173554E-2</v>
      </c>
      <c r="H32" s="27">
        <v>0</v>
      </c>
      <c r="I32" s="1">
        <v>158</v>
      </c>
      <c r="J32" s="28">
        <f t="shared" si="13"/>
        <v>-158</v>
      </c>
      <c r="K32" s="29">
        <f t="shared" si="35"/>
        <v>0</v>
      </c>
      <c r="L32" s="30">
        <v>8.44628099173554E-2</v>
      </c>
      <c r="M32" s="27">
        <f>96+13+13</f>
        <v>122</v>
      </c>
      <c r="N32" s="1">
        <v>153.30000000000001</v>
      </c>
      <c r="O32" s="28">
        <f t="shared" si="14"/>
        <v>-31.300000000000011</v>
      </c>
      <c r="P32" s="29">
        <f t="shared" si="32"/>
        <v>6.5626681011296401E-2</v>
      </c>
      <c r="Q32" s="30">
        <v>8.44628099173554E-2</v>
      </c>
      <c r="R32" s="27">
        <f>85+1</f>
        <v>86</v>
      </c>
      <c r="S32" s="1">
        <v>158.41</v>
      </c>
      <c r="T32" s="28">
        <f t="shared" si="16"/>
        <v>-72.41</v>
      </c>
      <c r="U32" s="29">
        <f t="shared" si="33"/>
        <v>4.4932079414838039E-2</v>
      </c>
      <c r="V32" s="30">
        <v>8.44628099173554E-2</v>
      </c>
      <c r="W32" s="27">
        <f>66</f>
        <v>66</v>
      </c>
      <c r="X32" s="1">
        <v>153.30000000000001</v>
      </c>
      <c r="Y32" s="28">
        <f t="shared" si="18"/>
        <v>-87.300000000000011</v>
      </c>
      <c r="Z32" s="29">
        <f>W32/$W$28</f>
        <v>3.5714285714285712E-2</v>
      </c>
      <c r="AA32" s="30">
        <v>8.44628099173554E-2</v>
      </c>
      <c r="AB32" s="27">
        <v>72</v>
      </c>
      <c r="AC32" s="1">
        <v>158.41</v>
      </c>
      <c r="AD32" s="28">
        <v>-86.410000000000096</v>
      </c>
      <c r="AE32" s="29">
        <v>3.78151260504202E-2</v>
      </c>
      <c r="AF32" s="30">
        <v>8.44628099173554E-2</v>
      </c>
      <c r="AG32" s="27">
        <v>57</v>
      </c>
      <c r="AH32" s="1">
        <v>148.19</v>
      </c>
      <c r="AI32" s="28">
        <v>-91.190000000000097</v>
      </c>
      <c r="AJ32" s="29">
        <v>3.11816192560175E-2</v>
      </c>
      <c r="AK32" s="30">
        <v>8.44628099173554E-2</v>
      </c>
      <c r="AL32" s="27">
        <v>134</v>
      </c>
      <c r="AM32" s="1">
        <v>158.41</v>
      </c>
      <c r="AN32" s="28">
        <v>-24.4100000000001</v>
      </c>
      <c r="AO32" s="29">
        <v>7.0675105485232106E-2</v>
      </c>
      <c r="AP32" s="30">
        <v>8.44628099173554E-2</v>
      </c>
      <c r="AQ32" s="22">
        <f t="shared" si="0"/>
        <v>616</v>
      </c>
      <c r="AR32" s="23">
        <f t="shared" si="1"/>
        <v>1246.02</v>
      </c>
      <c r="AS32" s="44">
        <f t="shared" si="2"/>
        <v>-630.02</v>
      </c>
      <c r="AT32" s="63">
        <f>AQ32/AQ28</f>
        <v>4.083255998939414E-2</v>
      </c>
      <c r="AU32" s="52"/>
      <c r="BD32" s="116" t="s">
        <v>68</v>
      </c>
      <c r="BE32" s="117"/>
      <c r="BF32" s="117"/>
      <c r="BG32" s="117"/>
      <c r="BH32" s="60"/>
      <c r="BI32" s="122" t="s">
        <v>76</v>
      </c>
      <c r="BJ32" s="116" t="s">
        <v>68</v>
      </c>
      <c r="BK32" s="117"/>
      <c r="BL32" s="117"/>
      <c r="BM32" s="117"/>
      <c r="BN32" s="60"/>
      <c r="BO32" s="122" t="s">
        <v>76</v>
      </c>
      <c r="BP32" s="116" t="s">
        <v>68</v>
      </c>
      <c r="BQ32" s="117"/>
      <c r="BR32" s="117"/>
      <c r="BS32" s="117"/>
      <c r="BT32" s="60"/>
    </row>
    <row r="33" spans="1:72" x14ac:dyDescent="0.2">
      <c r="A33" s="129" t="s">
        <v>29</v>
      </c>
      <c r="B33" s="51" t="s">
        <v>48</v>
      </c>
      <c r="C33" s="27">
        <v>353</v>
      </c>
      <c r="D33" s="1">
        <v>360</v>
      </c>
      <c r="E33" s="101">
        <f t="shared" si="12"/>
        <v>-7</v>
      </c>
      <c r="F33" s="29">
        <f t="shared" si="34"/>
        <v>0.18242894056847545</v>
      </c>
      <c r="G33" s="30">
        <v>0.192066115702479</v>
      </c>
      <c r="H33" s="27">
        <v>432</v>
      </c>
      <c r="I33" s="1">
        <v>360</v>
      </c>
      <c r="J33" s="69">
        <f t="shared" si="13"/>
        <v>72</v>
      </c>
      <c r="K33" s="29">
        <f t="shared" si="35"/>
        <v>0.22325581395348837</v>
      </c>
      <c r="L33" s="30">
        <v>0.192066115702479</v>
      </c>
      <c r="M33" s="27">
        <v>368</v>
      </c>
      <c r="N33" s="1">
        <v>348.6</v>
      </c>
      <c r="O33" s="69">
        <f t="shared" si="14"/>
        <v>19.399999999999977</v>
      </c>
      <c r="P33" s="29">
        <f t="shared" si="32"/>
        <v>0.19795589026358257</v>
      </c>
      <c r="Q33" s="30">
        <v>0.192066115702479</v>
      </c>
      <c r="R33" s="27">
        <v>413</v>
      </c>
      <c r="S33" s="1">
        <v>360.22</v>
      </c>
      <c r="T33" s="28">
        <f t="shared" si="16"/>
        <v>52.779999999999973</v>
      </c>
      <c r="U33" s="29">
        <f t="shared" si="33"/>
        <v>0.21577847439916406</v>
      </c>
      <c r="V33" s="30">
        <v>0.192066115702479</v>
      </c>
      <c r="W33" s="27">
        <v>431</v>
      </c>
      <c r="X33" s="1">
        <v>348.6</v>
      </c>
      <c r="Y33" s="69">
        <f t="shared" si="18"/>
        <v>82.399999999999977</v>
      </c>
      <c r="Z33" s="29">
        <f>W33/$W$28</f>
        <v>0.23322510822510822</v>
      </c>
      <c r="AA33" s="30">
        <v>0.192066115702479</v>
      </c>
      <c r="AB33" s="27">
        <v>391</v>
      </c>
      <c r="AC33" s="1">
        <v>360.22</v>
      </c>
      <c r="AD33" s="31">
        <v>30.779999999999902</v>
      </c>
      <c r="AE33" s="29">
        <v>0.20535714285714299</v>
      </c>
      <c r="AF33" s="30">
        <v>0.192066115702479</v>
      </c>
      <c r="AG33" s="27">
        <v>332</v>
      </c>
      <c r="AH33" s="1">
        <v>336.98</v>
      </c>
      <c r="AI33" s="28">
        <v>-4.9800000000000804</v>
      </c>
      <c r="AJ33" s="29">
        <v>0.181619256017505</v>
      </c>
      <c r="AK33" s="30">
        <v>0.192066115702479</v>
      </c>
      <c r="AL33" s="27">
        <v>365</v>
      </c>
      <c r="AM33" s="1">
        <v>360.22</v>
      </c>
      <c r="AN33" s="31">
        <v>4.7799999999999203</v>
      </c>
      <c r="AO33" s="29">
        <v>0.19251054852320701</v>
      </c>
      <c r="AP33" s="30">
        <v>0.192066115702479</v>
      </c>
      <c r="AQ33" s="22">
        <f t="shared" si="0"/>
        <v>3085</v>
      </c>
      <c r="AR33" s="23">
        <f t="shared" si="1"/>
        <v>2834.84</v>
      </c>
      <c r="AS33" s="44">
        <f t="shared" si="2"/>
        <v>250.15999999999985</v>
      </c>
      <c r="AT33" s="63">
        <f>AQ33/AQ28</f>
        <v>0.20449423306376774</v>
      </c>
      <c r="AU33" s="52"/>
      <c r="BD33" s="72"/>
      <c r="BE33" s="73" t="s">
        <v>40</v>
      </c>
      <c r="BF33" s="74" t="s">
        <v>69</v>
      </c>
      <c r="BG33" s="73" t="s">
        <v>40</v>
      </c>
      <c r="BH33" s="75" t="s">
        <v>69</v>
      </c>
      <c r="BI33" s="122"/>
      <c r="BJ33" s="72"/>
      <c r="BK33" s="73" t="s">
        <v>40</v>
      </c>
      <c r="BL33" s="74" t="s">
        <v>69</v>
      </c>
      <c r="BM33" s="73" t="s">
        <v>40</v>
      </c>
      <c r="BN33" s="75" t="s">
        <v>69</v>
      </c>
      <c r="BO33" s="122"/>
      <c r="BP33" s="72"/>
      <c r="BQ33" s="73" t="s">
        <v>40</v>
      </c>
      <c r="BR33" s="74" t="s">
        <v>69</v>
      </c>
      <c r="BS33" s="73" t="s">
        <v>40</v>
      </c>
      <c r="BT33" s="75" t="s">
        <v>69</v>
      </c>
    </row>
    <row r="34" spans="1:72" ht="13.5" thickBot="1" x14ac:dyDescent="0.25">
      <c r="A34" s="126" t="s">
        <v>29</v>
      </c>
      <c r="B34" s="53" t="s">
        <v>47</v>
      </c>
      <c r="C34" s="32">
        <v>611</v>
      </c>
      <c r="D34" s="33">
        <v>497</v>
      </c>
      <c r="E34" s="70">
        <f t="shared" si="12"/>
        <v>114</v>
      </c>
      <c r="F34" s="29">
        <f t="shared" si="34"/>
        <v>0.31576227390180878</v>
      </c>
      <c r="G34" s="36">
        <v>0.26479338842975197</v>
      </c>
      <c r="H34" s="32">
        <v>647</v>
      </c>
      <c r="I34" s="33">
        <v>497</v>
      </c>
      <c r="J34" s="70">
        <f t="shared" si="13"/>
        <v>150</v>
      </c>
      <c r="K34" s="29">
        <f t="shared" si="35"/>
        <v>0.33436692506459947</v>
      </c>
      <c r="L34" s="36">
        <v>0.26479338842975197</v>
      </c>
      <c r="M34" s="32">
        <v>559</v>
      </c>
      <c r="N34" s="33">
        <v>480.6</v>
      </c>
      <c r="O34" s="70">
        <f t="shared" si="14"/>
        <v>78.399999999999977</v>
      </c>
      <c r="P34" s="35">
        <f t="shared" si="32"/>
        <v>0.30069930069930068</v>
      </c>
      <c r="Q34" s="36">
        <v>0.26479338842975197</v>
      </c>
      <c r="R34" s="32">
        <v>611</v>
      </c>
      <c r="S34" s="33">
        <v>496.62</v>
      </c>
      <c r="T34" s="34">
        <f t="shared" si="16"/>
        <v>114.38</v>
      </c>
      <c r="U34" s="35">
        <f t="shared" si="33"/>
        <v>0.31922675026123304</v>
      </c>
      <c r="V34" s="36">
        <v>0.26479338842975197</v>
      </c>
      <c r="W34" s="32">
        <v>597</v>
      </c>
      <c r="X34" s="33">
        <v>480.6</v>
      </c>
      <c r="Y34" s="70">
        <f t="shared" si="18"/>
        <v>116.39999999999998</v>
      </c>
      <c r="Z34" s="35">
        <f>W34/$W$28</f>
        <v>0.32305194805194803</v>
      </c>
      <c r="AA34" s="36">
        <v>0.26479338842975197</v>
      </c>
      <c r="AB34" s="32">
        <v>630</v>
      </c>
      <c r="AC34" s="33">
        <v>496.62</v>
      </c>
      <c r="AD34" s="62">
        <v>133.38</v>
      </c>
      <c r="AE34" s="35">
        <v>0.33088235294117602</v>
      </c>
      <c r="AF34" s="36">
        <v>0.26479338842975197</v>
      </c>
      <c r="AG34" s="32">
        <v>627</v>
      </c>
      <c r="AH34" s="33">
        <v>464.58</v>
      </c>
      <c r="AI34" s="62">
        <v>162.41999999999999</v>
      </c>
      <c r="AJ34" s="35">
        <v>0.34299781181619299</v>
      </c>
      <c r="AK34" s="36">
        <v>0.26479338842975197</v>
      </c>
      <c r="AL34" s="32">
        <v>573</v>
      </c>
      <c r="AM34" s="33">
        <v>496.62</v>
      </c>
      <c r="AN34" s="62">
        <v>76.380000000000194</v>
      </c>
      <c r="AO34" s="35">
        <v>0.302215189873418</v>
      </c>
      <c r="AP34" s="36">
        <v>0.26479338842975197</v>
      </c>
      <c r="AQ34" s="40">
        <f t="shared" si="0"/>
        <v>4855</v>
      </c>
      <c r="AR34" s="41">
        <f t="shared" si="1"/>
        <v>3909.64</v>
      </c>
      <c r="AS34" s="42">
        <f t="shared" si="2"/>
        <v>945.36000000000013</v>
      </c>
      <c r="AT34" s="68">
        <f>AQ34/AQ28</f>
        <v>0.3218215564099165</v>
      </c>
      <c r="AU34" s="54"/>
      <c r="BD34" s="72" t="s">
        <v>53</v>
      </c>
      <c r="BE34" s="76"/>
      <c r="BF34" s="77"/>
      <c r="BG34" s="78">
        <f>BE34/BE41</f>
        <v>0</v>
      </c>
      <c r="BH34" s="79">
        <f>BF34/BF41</f>
        <v>0</v>
      </c>
      <c r="BI34" s="122"/>
      <c r="BJ34" s="72" t="s">
        <v>53</v>
      </c>
      <c r="BK34" s="76"/>
      <c r="BL34" s="77"/>
      <c r="BM34" s="78">
        <f>BK34/BK41</f>
        <v>0</v>
      </c>
      <c r="BN34" s="79">
        <f>BL34/BL41</f>
        <v>0</v>
      </c>
      <c r="BO34" s="122"/>
      <c r="BP34" s="72" t="s">
        <v>53</v>
      </c>
      <c r="BQ34" s="76"/>
      <c r="BR34" s="77"/>
      <c r="BS34" s="78">
        <f>BQ34/BQ41</f>
        <v>0</v>
      </c>
      <c r="BT34" s="79">
        <f>BR34/BR41</f>
        <v>0</v>
      </c>
    </row>
    <row r="35" spans="1:72" x14ac:dyDescent="0.2">
      <c r="A35" s="123" t="s">
        <v>30</v>
      </c>
      <c r="B35" s="38" t="s">
        <v>18</v>
      </c>
      <c r="C35" s="55">
        <f>SUM(C36:C41)</f>
        <v>2858</v>
      </c>
      <c r="D35" s="56">
        <f>SUM(D36:D41)</f>
        <v>2852</v>
      </c>
      <c r="E35" s="71">
        <f t="shared" si="12"/>
        <v>6</v>
      </c>
      <c r="F35" s="58">
        <f>C35/$H$35</f>
        <v>1.0152753108348136</v>
      </c>
      <c r="G35" s="59">
        <v>1</v>
      </c>
      <c r="H35" s="55">
        <f>SUM(H36:H41)</f>
        <v>2815</v>
      </c>
      <c r="I35" s="56">
        <f>SUM(I36:I41)</f>
        <v>2853</v>
      </c>
      <c r="J35" s="57">
        <f t="shared" si="13"/>
        <v>-38</v>
      </c>
      <c r="K35" s="58">
        <f>H35/$H$35</f>
        <v>1</v>
      </c>
      <c r="L35" s="59">
        <v>1</v>
      </c>
      <c r="M35" s="55">
        <f>SUM(M36:M41)</f>
        <v>2737</v>
      </c>
      <c r="N35" s="55">
        <f>SUM(N36:N41)</f>
        <v>2760</v>
      </c>
      <c r="O35" s="57">
        <f t="shared" si="14"/>
        <v>-23</v>
      </c>
      <c r="P35" s="58">
        <f>M35/$M$35</f>
        <v>1</v>
      </c>
      <c r="Q35" s="59">
        <v>1</v>
      </c>
      <c r="R35" s="55">
        <f>SUM(R36:R41)</f>
        <v>2741</v>
      </c>
      <c r="S35" s="55">
        <f>SUM(S36:S41)</f>
        <v>2851.9999999999995</v>
      </c>
      <c r="T35" s="57">
        <v>-111</v>
      </c>
      <c r="U35" s="58">
        <v>1</v>
      </c>
      <c r="V35" s="59">
        <v>1</v>
      </c>
      <c r="W35" s="55">
        <f>SUM(W36:W41)</f>
        <v>2687</v>
      </c>
      <c r="X35" s="55">
        <f>SUM(X36:X41)</f>
        <v>2760</v>
      </c>
      <c r="Y35" s="57">
        <v>-73</v>
      </c>
      <c r="Z35" s="58">
        <v>1</v>
      </c>
      <c r="AA35" s="59">
        <v>1</v>
      </c>
      <c r="AB35" s="55">
        <f>SUM(AB36:AB41)</f>
        <v>2825</v>
      </c>
      <c r="AC35" s="55">
        <f>SUM(AC36:AC41)</f>
        <v>2851.9999999999995</v>
      </c>
      <c r="AD35" s="57">
        <v>-27</v>
      </c>
      <c r="AE35" s="58">
        <v>1</v>
      </c>
      <c r="AF35" s="59">
        <v>1</v>
      </c>
      <c r="AG35" s="55">
        <f>SUM(AG36:AG41)</f>
        <v>2611</v>
      </c>
      <c r="AH35" s="55">
        <f>SUM(AH36:AH41)</f>
        <v>2668</v>
      </c>
      <c r="AI35" s="57">
        <v>-57</v>
      </c>
      <c r="AJ35" s="58">
        <v>1</v>
      </c>
      <c r="AK35" s="59">
        <v>1</v>
      </c>
      <c r="AL35" s="55">
        <f>SUM(AL36:AL41)</f>
        <v>2722</v>
      </c>
      <c r="AM35" s="55">
        <f>SUM(AM36:AM41)</f>
        <v>2851.9999999999995</v>
      </c>
      <c r="AN35" s="57">
        <v>-130</v>
      </c>
      <c r="AO35" s="58">
        <v>1</v>
      </c>
      <c r="AP35" s="59">
        <v>1</v>
      </c>
      <c r="AQ35" s="22">
        <f t="shared" si="0"/>
        <v>21996</v>
      </c>
      <c r="AR35" s="23">
        <f t="shared" si="1"/>
        <v>22449</v>
      </c>
      <c r="AS35" s="67">
        <f t="shared" si="2"/>
        <v>-453</v>
      </c>
      <c r="AT35" s="65">
        <f>AQ35/AQ35</f>
        <v>1</v>
      </c>
      <c r="AU35" s="60"/>
      <c r="BD35" s="72" t="s">
        <v>52</v>
      </c>
      <c r="BE35" s="76"/>
      <c r="BF35" s="77"/>
      <c r="BG35" s="78">
        <f>BE35/BE41</f>
        <v>0</v>
      </c>
      <c r="BH35" s="79">
        <f>BF35/BF41</f>
        <v>0</v>
      </c>
      <c r="BI35" s="122"/>
      <c r="BJ35" s="72" t="s">
        <v>52</v>
      </c>
      <c r="BK35" s="76"/>
      <c r="BL35" s="77"/>
      <c r="BM35" s="78">
        <f>BK35/BK41</f>
        <v>0</v>
      </c>
      <c r="BN35" s="79">
        <f>BL35/BL41</f>
        <v>0</v>
      </c>
      <c r="BO35" s="122"/>
      <c r="BP35" s="72" t="s">
        <v>52</v>
      </c>
      <c r="BQ35" s="76"/>
      <c r="BR35" s="77"/>
      <c r="BS35" s="78">
        <f>BQ35/BQ41</f>
        <v>0</v>
      </c>
      <c r="BT35" s="79">
        <f>BR35/BR41</f>
        <v>0</v>
      </c>
    </row>
    <row r="36" spans="1:72" x14ac:dyDescent="0.2">
      <c r="A36" s="129" t="s">
        <v>30</v>
      </c>
      <c r="B36" s="51" t="s">
        <v>52</v>
      </c>
      <c r="C36" s="27">
        <v>31</v>
      </c>
      <c r="D36" s="1">
        <v>115</v>
      </c>
      <c r="E36" s="28">
        <f t="shared" si="12"/>
        <v>-84</v>
      </c>
      <c r="F36" s="29">
        <f>C36/$H$35</f>
        <v>1.1012433392539964E-2</v>
      </c>
      <c r="G36" s="30">
        <v>4.0217391304347802E-2</v>
      </c>
      <c r="H36" s="27">
        <v>44</v>
      </c>
      <c r="I36" s="1">
        <v>115</v>
      </c>
      <c r="J36" s="28">
        <f t="shared" si="13"/>
        <v>-71</v>
      </c>
      <c r="K36" s="29">
        <f>H36/$H$35</f>
        <v>1.5630550621669625E-2</v>
      </c>
      <c r="L36" s="30">
        <v>4.0217391304347802E-2</v>
      </c>
      <c r="M36" s="27">
        <v>39</v>
      </c>
      <c r="N36" s="1">
        <v>111</v>
      </c>
      <c r="O36" s="28">
        <f t="shared" si="14"/>
        <v>-72</v>
      </c>
      <c r="P36" s="29">
        <f t="shared" ref="P36:P41" si="36">M36/$M$35</f>
        <v>1.4249177932042383E-2</v>
      </c>
      <c r="Q36" s="30">
        <v>4.0217391304347802E-2</v>
      </c>
      <c r="R36" s="27">
        <v>84</v>
      </c>
      <c r="S36" s="1">
        <v>114.7</v>
      </c>
      <c r="T36" s="28">
        <v>-30.700000000000099</v>
      </c>
      <c r="U36" s="29">
        <v>3.0645749726377201E-2</v>
      </c>
      <c r="V36" s="30">
        <v>4.0217391304347802E-2</v>
      </c>
      <c r="W36" s="27">
        <v>66</v>
      </c>
      <c r="X36" s="1">
        <v>111</v>
      </c>
      <c r="Y36" s="28">
        <v>-45.000000000000099</v>
      </c>
      <c r="Z36" s="29">
        <v>2.45627093412728E-2</v>
      </c>
      <c r="AA36" s="30">
        <v>4.0217391304347802E-2</v>
      </c>
      <c r="AB36" s="27">
        <v>79</v>
      </c>
      <c r="AC36" s="1">
        <v>114.7</v>
      </c>
      <c r="AD36" s="28">
        <v>-35.700000000000102</v>
      </c>
      <c r="AE36" s="29">
        <v>2.7964601769911501E-2</v>
      </c>
      <c r="AF36" s="30">
        <v>4.0217391304347802E-2</v>
      </c>
      <c r="AG36" s="27">
        <v>79</v>
      </c>
      <c r="AH36" s="1">
        <v>107.3</v>
      </c>
      <c r="AI36" s="28">
        <v>-28.3000000000001</v>
      </c>
      <c r="AJ36" s="29">
        <v>3.0256606664113402E-2</v>
      </c>
      <c r="AK36" s="30">
        <v>4.0217391304347802E-2</v>
      </c>
      <c r="AL36" s="27">
        <v>84</v>
      </c>
      <c r="AM36" s="1">
        <v>114.7</v>
      </c>
      <c r="AN36" s="28">
        <v>-30.700000000000099</v>
      </c>
      <c r="AO36" s="29">
        <v>3.0859662013225601E-2</v>
      </c>
      <c r="AP36" s="30">
        <v>4.0217391304347802E-2</v>
      </c>
      <c r="AQ36" s="22">
        <f t="shared" si="0"/>
        <v>506</v>
      </c>
      <c r="AR36" s="23">
        <f t="shared" si="1"/>
        <v>903.4</v>
      </c>
      <c r="AS36" s="44">
        <f t="shared" si="2"/>
        <v>-397.4</v>
      </c>
      <c r="AT36" s="63">
        <f>AQ36/AQ35</f>
        <v>2.3004182578650664E-2</v>
      </c>
      <c r="AU36" s="52"/>
      <c r="BD36" s="72" t="s">
        <v>51</v>
      </c>
      <c r="BE36" s="76">
        <f t="shared" ref="BE36:BF40" si="37">AB23+AG23+AL23</f>
        <v>1552</v>
      </c>
      <c r="BF36" s="77">
        <f t="shared" si="37"/>
        <v>1777.23</v>
      </c>
      <c r="BG36" s="78">
        <f>BE36/BE41</f>
        <v>0.25534715366897004</v>
      </c>
      <c r="BH36" s="79">
        <f>BF36/BF41</f>
        <v>0.29794050343249434</v>
      </c>
      <c r="BI36" s="122"/>
      <c r="BJ36" s="72" t="s">
        <v>51</v>
      </c>
      <c r="BK36" s="76">
        <f t="shared" ref="BK36:BL40" si="38">M23+R23+W23</f>
        <v>1619</v>
      </c>
      <c r="BL36" s="77">
        <f t="shared" si="38"/>
        <v>1777.23</v>
      </c>
      <c r="BM36" s="78">
        <f>BK36/BK41</f>
        <v>0.27114386199966506</v>
      </c>
      <c r="BN36" s="79">
        <f>BL36/BL41</f>
        <v>0.29794050343249429</v>
      </c>
      <c r="BO36" s="122"/>
      <c r="BP36" s="72" t="s">
        <v>51</v>
      </c>
      <c r="BQ36" s="76">
        <f t="shared" ref="BQ36:BR40" si="39">C23+H23</f>
        <v>1010</v>
      </c>
      <c r="BR36" s="77">
        <f t="shared" si="39"/>
        <v>1210</v>
      </c>
      <c r="BS36" s="78">
        <f>BQ36/BQ41</f>
        <v>0.25582573454913882</v>
      </c>
      <c r="BT36" s="79">
        <f>BR36/BR41</f>
        <v>0.29773622047244097</v>
      </c>
    </row>
    <row r="37" spans="1:72" x14ac:dyDescent="0.2">
      <c r="A37" s="129" t="s">
        <v>30</v>
      </c>
      <c r="B37" s="51" t="s">
        <v>51</v>
      </c>
      <c r="C37" s="27">
        <f>699+627+372+11</f>
        <v>1709</v>
      </c>
      <c r="D37" s="1">
        <v>1798</v>
      </c>
      <c r="E37" s="28">
        <f t="shared" si="12"/>
        <v>-89</v>
      </c>
      <c r="F37" s="29">
        <f t="shared" ref="F37:F41" si="40">C37/$H$35</f>
        <v>0.6071047957371225</v>
      </c>
      <c r="G37" s="30">
        <v>0.63065217391304296</v>
      </c>
      <c r="H37" s="27">
        <v>1754</v>
      </c>
      <c r="I37" s="1">
        <v>1799</v>
      </c>
      <c r="J37" s="28">
        <f t="shared" si="13"/>
        <v>-45</v>
      </c>
      <c r="K37" s="29">
        <f t="shared" ref="K37:K41" si="41">H37/$H$35</f>
        <v>0.62309058614564827</v>
      </c>
      <c r="L37" s="30">
        <v>0.63065217391304296</v>
      </c>
      <c r="M37" s="27">
        <v>1672</v>
      </c>
      <c r="N37" s="1">
        <v>1740.6</v>
      </c>
      <c r="O37" s="28">
        <f t="shared" si="14"/>
        <v>-68.599999999999909</v>
      </c>
      <c r="P37" s="29">
        <f t="shared" si="36"/>
        <v>0.61088783339422725</v>
      </c>
      <c r="Q37" s="30">
        <v>0.63065217391304296</v>
      </c>
      <c r="R37" s="27">
        <v>1698</v>
      </c>
      <c r="S37" s="1">
        <v>1798.62</v>
      </c>
      <c r="T37" s="28">
        <v>-100.62</v>
      </c>
      <c r="U37" s="29">
        <v>0.61948194089748299</v>
      </c>
      <c r="V37" s="30">
        <v>0.63065217391304296</v>
      </c>
      <c r="W37" s="27">
        <v>1712</v>
      </c>
      <c r="X37" s="1">
        <v>1740.6</v>
      </c>
      <c r="Y37" s="28">
        <v>-28.599999999999699</v>
      </c>
      <c r="Z37" s="29">
        <v>0.63714179382210601</v>
      </c>
      <c r="AA37" s="30">
        <v>0.63065217391304296</v>
      </c>
      <c r="AB37" s="27">
        <v>1743</v>
      </c>
      <c r="AC37" s="1">
        <v>1798.62</v>
      </c>
      <c r="AD37" s="28">
        <v>-55.619999999999699</v>
      </c>
      <c r="AE37" s="29">
        <v>0.61699115044247799</v>
      </c>
      <c r="AF37" s="30">
        <v>0.63065217391304296</v>
      </c>
      <c r="AG37" s="27">
        <v>1646</v>
      </c>
      <c r="AH37" s="1">
        <v>1682.58</v>
      </c>
      <c r="AI37" s="28">
        <v>-36.5799999999997</v>
      </c>
      <c r="AJ37" s="29">
        <v>0.63040980467253904</v>
      </c>
      <c r="AK37" s="30">
        <v>0.63065217391304296</v>
      </c>
      <c r="AL37" s="27">
        <v>1690</v>
      </c>
      <c r="AM37" s="1">
        <v>1798.62</v>
      </c>
      <c r="AN37" s="28">
        <v>-108.62</v>
      </c>
      <c r="AO37" s="29">
        <v>0.62086700955179996</v>
      </c>
      <c r="AP37" s="30">
        <v>0.63065217391304296</v>
      </c>
      <c r="AQ37" s="22">
        <f t="shared" si="0"/>
        <v>13624</v>
      </c>
      <c r="AR37" s="23">
        <f t="shared" si="1"/>
        <v>14156.64</v>
      </c>
      <c r="AS37" s="44">
        <f t="shared" si="2"/>
        <v>-532.63999999999942</v>
      </c>
      <c r="AT37" s="63">
        <f>AQ37/AQ35</f>
        <v>0.61938534278959811</v>
      </c>
      <c r="AU37" s="52"/>
      <c r="BD37" s="72" t="s">
        <v>50</v>
      </c>
      <c r="BE37" s="76">
        <f t="shared" si="37"/>
        <v>200</v>
      </c>
      <c r="BF37" s="77">
        <f t="shared" si="37"/>
        <v>0</v>
      </c>
      <c r="BG37" s="78">
        <f>BE37/BE41</f>
        <v>3.2905561039815727E-2</v>
      </c>
      <c r="BH37" s="79">
        <f>BF37/BF41</f>
        <v>0</v>
      </c>
      <c r="BI37" s="122"/>
      <c r="BJ37" s="72" t="s">
        <v>50</v>
      </c>
      <c r="BK37" s="76">
        <f t="shared" si="38"/>
        <v>88</v>
      </c>
      <c r="BL37" s="77">
        <f t="shared" si="38"/>
        <v>0</v>
      </c>
      <c r="BM37" s="78">
        <f>BK37/BK41</f>
        <v>1.4737899849271478E-2</v>
      </c>
      <c r="BN37" s="79">
        <f>BL37/BL41</f>
        <v>0</v>
      </c>
      <c r="BO37" s="122"/>
      <c r="BP37" s="72" t="s">
        <v>50</v>
      </c>
      <c r="BQ37" s="76">
        <f t="shared" si="39"/>
        <v>155</v>
      </c>
      <c r="BR37" s="77">
        <f t="shared" si="39"/>
        <v>0</v>
      </c>
      <c r="BS37" s="78">
        <f>BQ37/BQ41</f>
        <v>3.9260385005065859E-2</v>
      </c>
      <c r="BT37" s="79">
        <f>BR37/BR41</f>
        <v>0</v>
      </c>
    </row>
    <row r="38" spans="1:72" x14ac:dyDescent="0.2">
      <c r="A38" s="129" t="s">
        <v>30</v>
      </c>
      <c r="B38" s="51" t="s">
        <v>50</v>
      </c>
      <c r="C38" s="27">
        <v>124</v>
      </c>
      <c r="D38" s="1">
        <v>0</v>
      </c>
      <c r="E38" s="69">
        <f t="shared" si="12"/>
        <v>124</v>
      </c>
      <c r="F38" s="29">
        <f t="shared" si="40"/>
        <v>4.4049733570159857E-2</v>
      </c>
      <c r="G38" s="30" t="s">
        <v>24</v>
      </c>
      <c r="H38" s="27">
        <v>62</v>
      </c>
      <c r="I38" s="1">
        <v>0</v>
      </c>
      <c r="J38" s="69">
        <f t="shared" si="13"/>
        <v>62</v>
      </c>
      <c r="K38" s="29">
        <f t="shared" si="41"/>
        <v>2.2024866785079929E-2</v>
      </c>
      <c r="L38" s="30" t="s">
        <v>24</v>
      </c>
      <c r="M38" s="27">
        <v>60</v>
      </c>
      <c r="N38" s="1">
        <v>0</v>
      </c>
      <c r="O38" s="69">
        <f t="shared" si="14"/>
        <v>60</v>
      </c>
      <c r="P38" s="29">
        <f t="shared" si="36"/>
        <v>2.1921812203142127E-2</v>
      </c>
      <c r="Q38" s="30" t="s">
        <v>24</v>
      </c>
      <c r="R38" s="27">
        <v>31</v>
      </c>
      <c r="S38" s="1">
        <v>0</v>
      </c>
      <c r="T38" s="31">
        <v>31</v>
      </c>
      <c r="U38" s="29">
        <v>1.1309740970448699E-2</v>
      </c>
      <c r="V38" s="30">
        <v>0</v>
      </c>
      <c r="W38" s="27">
        <v>7</v>
      </c>
      <c r="X38" s="1">
        <v>0</v>
      </c>
      <c r="Y38" s="31">
        <v>7</v>
      </c>
      <c r="Z38" s="29">
        <v>2.6051358392258999E-3</v>
      </c>
      <c r="AA38" s="30">
        <v>0</v>
      </c>
      <c r="AB38" s="27">
        <v>0</v>
      </c>
      <c r="AC38" s="1">
        <v>0</v>
      </c>
      <c r="AD38" s="31">
        <v>0</v>
      </c>
      <c r="AE38" s="29" t="s">
        <v>24</v>
      </c>
      <c r="AF38" s="30" t="s">
        <v>24</v>
      </c>
      <c r="AG38" s="27">
        <v>0</v>
      </c>
      <c r="AH38" s="1">
        <v>0</v>
      </c>
      <c r="AI38" s="31">
        <v>0</v>
      </c>
      <c r="AJ38" s="29" t="s">
        <v>24</v>
      </c>
      <c r="AK38" s="30" t="s">
        <v>24</v>
      </c>
      <c r="AL38" s="27">
        <v>0</v>
      </c>
      <c r="AM38" s="1">
        <v>0</v>
      </c>
      <c r="AN38" s="31">
        <v>0</v>
      </c>
      <c r="AO38" s="29" t="s">
        <v>24</v>
      </c>
      <c r="AP38" s="30" t="s">
        <v>24</v>
      </c>
      <c r="AQ38" s="22">
        <f t="shared" si="0"/>
        <v>284</v>
      </c>
      <c r="AR38" s="23">
        <f t="shared" si="1"/>
        <v>0</v>
      </c>
      <c r="AS38" s="44">
        <f t="shared" si="2"/>
        <v>284</v>
      </c>
      <c r="AT38" s="63">
        <f>AQ38/AQ35</f>
        <v>1.2911438443353337E-2</v>
      </c>
      <c r="AU38" s="52"/>
      <c r="BD38" s="72" t="s">
        <v>49</v>
      </c>
      <c r="BE38" s="76">
        <f t="shared" si="37"/>
        <v>163</v>
      </c>
      <c r="BF38" s="77">
        <f t="shared" si="37"/>
        <v>217.49</v>
      </c>
      <c r="BG38" s="78">
        <f>BE38/BE41</f>
        <v>2.681803224744982E-2</v>
      </c>
      <c r="BH38" s="79">
        <f>BF38/BF41</f>
        <v>3.6460717009916099E-2</v>
      </c>
      <c r="BI38" s="122"/>
      <c r="BJ38" s="72" t="s">
        <v>49</v>
      </c>
      <c r="BK38" s="76">
        <f t="shared" si="38"/>
        <v>214</v>
      </c>
      <c r="BL38" s="77">
        <f t="shared" si="38"/>
        <v>217.49</v>
      </c>
      <c r="BM38" s="78">
        <f>BK38/BK41</f>
        <v>3.5839892815273826E-2</v>
      </c>
      <c r="BN38" s="79">
        <f>BL38/BL41</f>
        <v>3.6460717009916092E-2</v>
      </c>
      <c r="BO38" s="122"/>
      <c r="BP38" s="72" t="s">
        <v>49</v>
      </c>
      <c r="BQ38" s="76">
        <f t="shared" si="39"/>
        <v>100</v>
      </c>
      <c r="BR38" s="77">
        <f t="shared" si="39"/>
        <v>148</v>
      </c>
      <c r="BS38" s="78">
        <f>BQ38/BQ41</f>
        <v>2.5329280648429583E-2</v>
      </c>
      <c r="BT38" s="79">
        <f>BR38/BR41</f>
        <v>3.6417322834645667E-2</v>
      </c>
    </row>
    <row r="39" spans="1:72" x14ac:dyDescent="0.2">
      <c r="A39" s="129" t="s">
        <v>30</v>
      </c>
      <c r="B39" s="51" t="s">
        <v>49</v>
      </c>
      <c r="C39" s="27">
        <f>55+13+280+16</f>
        <v>364</v>
      </c>
      <c r="D39" s="1">
        <v>248</v>
      </c>
      <c r="E39" s="69">
        <f t="shared" si="12"/>
        <v>116</v>
      </c>
      <c r="F39" s="29">
        <f t="shared" si="40"/>
        <v>0.12930728241563055</v>
      </c>
      <c r="G39" s="30">
        <v>8.6956521739130405E-2</v>
      </c>
      <c r="H39" s="27">
        <v>311</v>
      </c>
      <c r="I39" s="1">
        <v>248</v>
      </c>
      <c r="J39" s="69">
        <f t="shared" si="13"/>
        <v>63</v>
      </c>
      <c r="K39" s="29">
        <f t="shared" si="41"/>
        <v>0.11047957371225577</v>
      </c>
      <c r="L39" s="30">
        <v>8.6956521739130405E-2</v>
      </c>
      <c r="M39" s="27">
        <v>346</v>
      </c>
      <c r="N39" s="1">
        <v>240</v>
      </c>
      <c r="O39" s="69">
        <f t="shared" si="14"/>
        <v>106</v>
      </c>
      <c r="P39" s="29">
        <f t="shared" si="36"/>
        <v>0.12641578370478626</v>
      </c>
      <c r="Q39" s="30">
        <v>8.6956521739130405E-2</v>
      </c>
      <c r="R39" s="27">
        <v>304</v>
      </c>
      <c r="S39" s="1">
        <v>248</v>
      </c>
      <c r="T39" s="31">
        <v>56</v>
      </c>
      <c r="U39" s="29">
        <v>0.110908427581175</v>
      </c>
      <c r="V39" s="30">
        <v>8.6956521739130405E-2</v>
      </c>
      <c r="W39" s="27">
        <v>261</v>
      </c>
      <c r="X39" s="1">
        <v>240</v>
      </c>
      <c r="Y39" s="31">
        <v>21</v>
      </c>
      <c r="Z39" s="29">
        <v>9.7134350576851505E-2</v>
      </c>
      <c r="AA39" s="30">
        <v>8.6956521739130405E-2</v>
      </c>
      <c r="AB39" s="27">
        <v>322</v>
      </c>
      <c r="AC39" s="1">
        <v>248</v>
      </c>
      <c r="AD39" s="31">
        <v>74</v>
      </c>
      <c r="AE39" s="29">
        <v>0.11398230088495601</v>
      </c>
      <c r="AF39" s="30">
        <v>8.6956521739130405E-2</v>
      </c>
      <c r="AG39" s="27">
        <v>278</v>
      </c>
      <c r="AH39" s="1">
        <v>232</v>
      </c>
      <c r="AI39" s="31">
        <v>46</v>
      </c>
      <c r="AJ39" s="29">
        <v>0.106472615855994</v>
      </c>
      <c r="AK39" s="30">
        <v>8.6956521739130405E-2</v>
      </c>
      <c r="AL39" s="27">
        <v>331</v>
      </c>
      <c r="AM39" s="1">
        <v>248</v>
      </c>
      <c r="AN39" s="31">
        <v>83</v>
      </c>
      <c r="AO39" s="29">
        <v>0.121601763409258</v>
      </c>
      <c r="AP39" s="30">
        <v>8.6956521739130405E-2</v>
      </c>
      <c r="AQ39" s="22">
        <f t="shared" si="0"/>
        <v>2517</v>
      </c>
      <c r="AR39" s="23">
        <f t="shared" si="1"/>
        <v>1952</v>
      </c>
      <c r="AS39" s="44">
        <f t="shared" si="2"/>
        <v>565</v>
      </c>
      <c r="AT39" s="63">
        <f>AQ39/AQ35</f>
        <v>0.11442989634478996</v>
      </c>
      <c r="AU39" s="52"/>
      <c r="BD39" s="72" t="s">
        <v>48</v>
      </c>
      <c r="BE39" s="76">
        <f t="shared" si="37"/>
        <v>232</v>
      </c>
      <c r="BF39" s="77">
        <f t="shared" si="37"/>
        <v>378.56000000000006</v>
      </c>
      <c r="BG39" s="78">
        <f>BE39/BE41</f>
        <v>3.8170450806186244E-2</v>
      </c>
      <c r="BH39" s="79">
        <f>BF39/BF41</f>
        <v>6.3463005339435566E-2</v>
      </c>
      <c r="BI39" s="122"/>
      <c r="BJ39" s="72" t="s">
        <v>48</v>
      </c>
      <c r="BK39" s="76">
        <f t="shared" si="38"/>
        <v>389</v>
      </c>
      <c r="BL39" s="77">
        <f t="shared" si="38"/>
        <v>378.56</v>
      </c>
      <c r="BM39" s="78">
        <f>BK39/BK41</f>
        <v>6.5148216379165971E-2</v>
      </c>
      <c r="BN39" s="79">
        <f>BL39/BL41</f>
        <v>6.3463005339435538E-2</v>
      </c>
      <c r="BO39" s="122"/>
      <c r="BP39" s="72" t="s">
        <v>48</v>
      </c>
      <c r="BQ39" s="76">
        <f t="shared" si="39"/>
        <v>200</v>
      </c>
      <c r="BR39" s="77">
        <f t="shared" si="39"/>
        <v>258</v>
      </c>
      <c r="BS39" s="78">
        <f>BQ39/BQ41</f>
        <v>5.0658561296859167E-2</v>
      </c>
      <c r="BT39" s="79">
        <f>BR39/BR41</f>
        <v>6.3484251968503935E-2</v>
      </c>
    </row>
    <row r="40" spans="1:72" x14ac:dyDescent="0.2">
      <c r="A40" s="129" t="s">
        <v>30</v>
      </c>
      <c r="B40" s="51" t="s">
        <v>48</v>
      </c>
      <c r="C40" s="27">
        <v>251</v>
      </c>
      <c r="D40" s="1">
        <v>257</v>
      </c>
      <c r="E40" s="28">
        <f t="shared" si="12"/>
        <v>-6</v>
      </c>
      <c r="F40" s="29">
        <f t="shared" si="40"/>
        <v>8.9165186500888102E-2</v>
      </c>
      <c r="G40" s="30">
        <v>0.09</v>
      </c>
      <c r="H40" s="27">
        <v>163</v>
      </c>
      <c r="I40" s="1">
        <v>257</v>
      </c>
      <c r="J40" s="28">
        <f t="shared" si="13"/>
        <v>-94</v>
      </c>
      <c r="K40" s="29">
        <f t="shared" si="41"/>
        <v>5.7904085257548844E-2</v>
      </c>
      <c r="L40" s="30">
        <v>0.09</v>
      </c>
      <c r="M40" s="27">
        <v>146</v>
      </c>
      <c r="N40" s="1">
        <v>248.4</v>
      </c>
      <c r="O40" s="28">
        <f t="shared" si="14"/>
        <v>-102.4</v>
      </c>
      <c r="P40" s="29">
        <f t="shared" si="36"/>
        <v>5.3343076360979173E-2</v>
      </c>
      <c r="Q40" s="30">
        <v>0.09</v>
      </c>
      <c r="R40" s="27">
        <v>199</v>
      </c>
      <c r="S40" s="1">
        <v>256.68</v>
      </c>
      <c r="T40" s="28">
        <v>-57.68</v>
      </c>
      <c r="U40" s="29">
        <v>7.2601240423203206E-2</v>
      </c>
      <c r="V40" s="30">
        <v>0.09</v>
      </c>
      <c r="W40" s="27">
        <v>269</v>
      </c>
      <c r="X40" s="1">
        <v>248.4</v>
      </c>
      <c r="Y40" s="31">
        <v>20.6</v>
      </c>
      <c r="Z40" s="29">
        <v>0.10011164867882399</v>
      </c>
      <c r="AA40" s="30">
        <v>0.09</v>
      </c>
      <c r="AB40" s="27">
        <v>285</v>
      </c>
      <c r="AC40" s="1">
        <v>256.68</v>
      </c>
      <c r="AD40" s="31">
        <v>28.32</v>
      </c>
      <c r="AE40" s="29">
        <v>0.100884955752212</v>
      </c>
      <c r="AF40" s="30">
        <v>0.09</v>
      </c>
      <c r="AG40" s="27">
        <v>238</v>
      </c>
      <c r="AH40" s="1">
        <v>240.12</v>
      </c>
      <c r="AI40" s="28">
        <v>-2.12</v>
      </c>
      <c r="AJ40" s="29">
        <v>9.1152815013404803E-2</v>
      </c>
      <c r="AK40" s="30">
        <v>0.09</v>
      </c>
      <c r="AL40" s="27">
        <v>236</v>
      </c>
      <c r="AM40" s="1">
        <v>256.68</v>
      </c>
      <c r="AN40" s="28">
        <v>-20.68</v>
      </c>
      <c r="AO40" s="29">
        <v>8.6700955180014694E-2</v>
      </c>
      <c r="AP40" s="30">
        <v>0.09</v>
      </c>
      <c r="AQ40" s="22">
        <f t="shared" si="0"/>
        <v>1787</v>
      </c>
      <c r="AR40" s="23">
        <f t="shared" si="1"/>
        <v>2020.9600000000003</v>
      </c>
      <c r="AS40" s="44">
        <f t="shared" si="2"/>
        <v>-233.96000000000026</v>
      </c>
      <c r="AT40" s="63">
        <f>AQ40/AQ35</f>
        <v>8.124204400800146E-2</v>
      </c>
      <c r="AU40" s="52"/>
      <c r="BD40" s="72" t="s">
        <v>47</v>
      </c>
      <c r="BE40" s="76">
        <f t="shared" si="37"/>
        <v>3931</v>
      </c>
      <c r="BF40" s="77">
        <f t="shared" si="37"/>
        <v>3591.7699999999995</v>
      </c>
      <c r="BG40" s="78">
        <f>BE40/BE41</f>
        <v>0.6467588022375782</v>
      </c>
      <c r="BH40" s="79">
        <f>BF40/BF41</f>
        <v>0.60213577421815412</v>
      </c>
      <c r="BI40" s="122"/>
      <c r="BJ40" s="72" t="s">
        <v>47</v>
      </c>
      <c r="BK40" s="76">
        <f t="shared" si="38"/>
        <v>3661</v>
      </c>
      <c r="BL40" s="77">
        <f t="shared" si="38"/>
        <v>3591.77</v>
      </c>
      <c r="BM40" s="78">
        <f>BK40/BK41</f>
        <v>0.61313012895662367</v>
      </c>
      <c r="BN40" s="79">
        <f>BL40/BL41</f>
        <v>0.60213577421815401</v>
      </c>
      <c r="BO40" s="122"/>
      <c r="BP40" s="72" t="s">
        <v>47</v>
      </c>
      <c r="BQ40" s="76">
        <f t="shared" si="39"/>
        <v>2483</v>
      </c>
      <c r="BR40" s="77">
        <f t="shared" si="39"/>
        <v>2448</v>
      </c>
      <c r="BS40" s="78">
        <f>BQ40/BQ41</f>
        <v>0.62892603850050655</v>
      </c>
      <c r="BT40" s="79">
        <f>BR40/BR41</f>
        <v>0.60236220472440949</v>
      </c>
    </row>
    <row r="41" spans="1:72" ht="13.5" thickBot="1" x14ac:dyDescent="0.25">
      <c r="A41" s="126" t="s">
        <v>30</v>
      </c>
      <c r="B41" s="53" t="s">
        <v>47</v>
      </c>
      <c r="C41" s="32">
        <v>379</v>
      </c>
      <c r="D41" s="33">
        <v>434</v>
      </c>
      <c r="E41" s="100">
        <f t="shared" si="12"/>
        <v>-55</v>
      </c>
      <c r="F41" s="29">
        <f t="shared" si="40"/>
        <v>0.13463587921847248</v>
      </c>
      <c r="G41" s="36">
        <v>0.15217391304347799</v>
      </c>
      <c r="H41" s="32">
        <v>481</v>
      </c>
      <c r="I41" s="33">
        <v>434</v>
      </c>
      <c r="J41" s="70">
        <f t="shared" si="13"/>
        <v>47</v>
      </c>
      <c r="K41" s="29">
        <f t="shared" si="41"/>
        <v>0.17087033747779751</v>
      </c>
      <c r="L41" s="36">
        <v>0.15217391304347799</v>
      </c>
      <c r="M41" s="32">
        <v>474</v>
      </c>
      <c r="N41" s="33">
        <v>420</v>
      </c>
      <c r="O41" s="70">
        <f t="shared" si="14"/>
        <v>54</v>
      </c>
      <c r="P41" s="35">
        <f t="shared" si="36"/>
        <v>0.17318231640482279</v>
      </c>
      <c r="Q41" s="36">
        <v>0.15217391304347799</v>
      </c>
      <c r="R41" s="32">
        <v>425</v>
      </c>
      <c r="S41" s="33">
        <v>434</v>
      </c>
      <c r="T41" s="34">
        <v>-9</v>
      </c>
      <c r="U41" s="35">
        <v>0.155052900401313</v>
      </c>
      <c r="V41" s="36">
        <v>0.15217391304347799</v>
      </c>
      <c r="W41" s="32">
        <v>372</v>
      </c>
      <c r="X41" s="33">
        <v>420</v>
      </c>
      <c r="Y41" s="34">
        <v>-48</v>
      </c>
      <c r="Z41" s="35">
        <v>0.13844436174171901</v>
      </c>
      <c r="AA41" s="36">
        <v>0.15217391304347799</v>
      </c>
      <c r="AB41" s="32">
        <v>396</v>
      </c>
      <c r="AC41" s="33">
        <v>434</v>
      </c>
      <c r="AD41" s="34">
        <v>-38</v>
      </c>
      <c r="AE41" s="35">
        <v>0.14017699115044199</v>
      </c>
      <c r="AF41" s="36">
        <v>0.15217391304347799</v>
      </c>
      <c r="AG41" s="32">
        <v>370</v>
      </c>
      <c r="AH41" s="33">
        <v>406</v>
      </c>
      <c r="AI41" s="34">
        <v>-36</v>
      </c>
      <c r="AJ41" s="35">
        <v>0.14170815779394899</v>
      </c>
      <c r="AK41" s="36">
        <v>0.15217391304347799</v>
      </c>
      <c r="AL41" s="32">
        <v>381</v>
      </c>
      <c r="AM41" s="33">
        <v>434</v>
      </c>
      <c r="AN41" s="34">
        <v>-53</v>
      </c>
      <c r="AO41" s="35">
        <v>0.139970609845702</v>
      </c>
      <c r="AP41" s="36">
        <v>0.15217391304347799</v>
      </c>
      <c r="AQ41" s="40">
        <f t="shared" si="0"/>
        <v>3278</v>
      </c>
      <c r="AR41" s="41">
        <f t="shared" si="1"/>
        <v>3416</v>
      </c>
      <c r="AS41" s="42">
        <f t="shared" si="2"/>
        <v>-138</v>
      </c>
      <c r="AT41" s="68">
        <f>AQ41/AQ35</f>
        <v>0.14902709583560647</v>
      </c>
      <c r="AU41" s="54"/>
      <c r="BD41" s="80"/>
      <c r="BE41" s="81">
        <f>SUM(BE34:BE40)</f>
        <v>6078</v>
      </c>
      <c r="BF41" s="82">
        <f>SUM(BF34:BF40)</f>
        <v>5965.0499999999993</v>
      </c>
      <c r="BG41" s="83">
        <f>SUM(BG34:BG40)</f>
        <v>1</v>
      </c>
      <c r="BH41" s="84">
        <f>BF41/BF41</f>
        <v>1</v>
      </c>
      <c r="BI41" s="122"/>
      <c r="BJ41" s="80"/>
      <c r="BK41" s="81">
        <f>SUM(BK34:BK40)</f>
        <v>5971</v>
      </c>
      <c r="BL41" s="82">
        <f>SUM(BL34:BL40)</f>
        <v>5965.05</v>
      </c>
      <c r="BM41" s="83">
        <f>SUM(BM34:BM40)</f>
        <v>1</v>
      </c>
      <c r="BN41" s="84">
        <f>BL41/BL41</f>
        <v>1</v>
      </c>
      <c r="BO41" s="122"/>
      <c r="BP41" s="80"/>
      <c r="BQ41" s="81">
        <f>SUM(BQ34:BQ40)</f>
        <v>3948</v>
      </c>
      <c r="BR41" s="82">
        <f>SUM(BR34:BR40)</f>
        <v>4064</v>
      </c>
      <c r="BS41" s="83">
        <f>SUM(BS34:BS40)</f>
        <v>1</v>
      </c>
      <c r="BT41" s="84">
        <f>BR41/BR41</f>
        <v>1</v>
      </c>
    </row>
    <row r="42" spans="1:72" x14ac:dyDescent="0.2">
      <c r="A42" s="123" t="s">
        <v>31</v>
      </c>
      <c r="B42" s="38" t="s">
        <v>18</v>
      </c>
      <c r="C42" s="55">
        <f>SUM(C43:C48)</f>
        <v>2132</v>
      </c>
      <c r="D42" s="56">
        <f>SUM(D43:D48)</f>
        <v>2170</v>
      </c>
      <c r="E42" s="102">
        <f t="shared" si="12"/>
        <v>-38</v>
      </c>
      <c r="F42" s="58">
        <f>C42/$H$42</f>
        <v>0.97977941176470584</v>
      </c>
      <c r="G42" s="59">
        <v>1</v>
      </c>
      <c r="H42" s="55">
        <f>SUM(H43:H48)</f>
        <v>2176</v>
      </c>
      <c r="I42" s="56">
        <f>SUM(I43:I48)</f>
        <v>2171</v>
      </c>
      <c r="J42" s="71">
        <f t="shared" si="13"/>
        <v>5</v>
      </c>
      <c r="K42" s="58">
        <f>H42/$H$42</f>
        <v>1</v>
      </c>
      <c r="L42" s="59">
        <v>1</v>
      </c>
      <c r="M42" s="55">
        <f>SUM(M43:M48)</f>
        <v>2152</v>
      </c>
      <c r="N42" s="55">
        <f>SUM(N43:N48)</f>
        <v>2165.6999999999998</v>
      </c>
      <c r="O42" s="57">
        <f t="shared" si="14"/>
        <v>-13.699999999999818</v>
      </c>
      <c r="P42" s="58">
        <f>M42/$M$42</f>
        <v>1</v>
      </c>
      <c r="Q42" s="59">
        <v>1</v>
      </c>
      <c r="R42" s="55">
        <f>SUM(R43:R48)</f>
        <v>2215</v>
      </c>
      <c r="S42" s="55">
        <f>SUM(S43:S48)</f>
        <v>2237.89</v>
      </c>
      <c r="T42" s="57">
        <v>-22.890000000001699</v>
      </c>
      <c r="U42" s="58">
        <v>1</v>
      </c>
      <c r="V42" s="59">
        <v>1</v>
      </c>
      <c r="W42" s="55">
        <f>SUM(W43:W48)</f>
        <v>2180</v>
      </c>
      <c r="X42" s="55">
        <f>SUM(X43:X48)</f>
        <v>2165.6999999999998</v>
      </c>
      <c r="Y42" s="61">
        <v>14.2999999999984</v>
      </c>
      <c r="Z42" s="58">
        <v>1</v>
      </c>
      <c r="AA42" s="59">
        <v>1</v>
      </c>
      <c r="AB42" s="55">
        <f>SUM(AB43:AB48)</f>
        <v>2227</v>
      </c>
      <c r="AC42" s="55">
        <f>SUM(AC43:AC48)</f>
        <v>2237.89</v>
      </c>
      <c r="AD42" s="57">
        <v>-10.8900000000012</v>
      </c>
      <c r="AE42" s="58">
        <v>1</v>
      </c>
      <c r="AF42" s="59">
        <v>1</v>
      </c>
      <c r="AG42" s="55">
        <f>SUM(AG43:AG48)</f>
        <v>2121</v>
      </c>
      <c r="AH42" s="55">
        <f>SUM(AH43:AH48)</f>
        <v>2093.5099999999998</v>
      </c>
      <c r="AI42" s="61">
        <v>27.4899999999984</v>
      </c>
      <c r="AJ42" s="58">
        <v>1</v>
      </c>
      <c r="AK42" s="59">
        <v>1</v>
      </c>
      <c r="AL42" s="55">
        <f>SUM(AL43:AL48)</f>
        <v>2212</v>
      </c>
      <c r="AM42" s="55">
        <f>SUM(AM43:AM48)</f>
        <v>2237.89</v>
      </c>
      <c r="AN42" s="57">
        <v>-25.890000000001201</v>
      </c>
      <c r="AO42" s="58">
        <v>1</v>
      </c>
      <c r="AP42" s="59">
        <v>1</v>
      </c>
      <c r="AQ42" s="22">
        <f t="shared" si="0"/>
        <v>17415</v>
      </c>
      <c r="AR42" s="23">
        <f t="shared" si="1"/>
        <v>17479.580000000002</v>
      </c>
      <c r="AS42" s="67">
        <f t="shared" si="2"/>
        <v>-64.580000000001746</v>
      </c>
      <c r="AT42" s="65">
        <f>AQ42/AQ42</f>
        <v>1</v>
      </c>
      <c r="AU42" s="60"/>
    </row>
    <row r="43" spans="1:72" ht="13.5" thickBot="1" x14ac:dyDescent="0.25">
      <c r="A43" s="129" t="s">
        <v>31</v>
      </c>
      <c r="B43" s="51" t="s">
        <v>52</v>
      </c>
      <c r="C43" s="27">
        <v>0</v>
      </c>
      <c r="D43" s="1">
        <v>0</v>
      </c>
      <c r="E43" s="69">
        <f t="shared" si="12"/>
        <v>0</v>
      </c>
      <c r="F43" s="29">
        <f>C43/$H$42</f>
        <v>0</v>
      </c>
      <c r="G43" s="30" t="s">
        <v>24</v>
      </c>
      <c r="H43" s="27">
        <v>0</v>
      </c>
      <c r="I43" s="1">
        <v>0</v>
      </c>
      <c r="J43" s="69">
        <f t="shared" si="13"/>
        <v>0</v>
      </c>
      <c r="K43" s="29">
        <f>H43/$H$42</f>
        <v>0</v>
      </c>
      <c r="L43" s="30" t="s">
        <v>24</v>
      </c>
      <c r="M43" s="27">
        <v>0</v>
      </c>
      <c r="N43" s="1">
        <v>0</v>
      </c>
      <c r="O43" s="28">
        <f t="shared" si="14"/>
        <v>0</v>
      </c>
      <c r="P43" s="29">
        <f t="shared" ref="P43:P48" si="42">M43/$M$42</f>
        <v>0</v>
      </c>
      <c r="Q43" s="30" t="s">
        <v>24</v>
      </c>
      <c r="R43" s="27">
        <v>0</v>
      </c>
      <c r="S43" s="1">
        <v>0</v>
      </c>
      <c r="T43" s="31">
        <v>0</v>
      </c>
      <c r="U43" s="29" t="s">
        <v>24</v>
      </c>
      <c r="V43" s="30" t="s">
        <v>24</v>
      </c>
      <c r="W43" s="27">
        <v>12</v>
      </c>
      <c r="X43" s="1">
        <v>0</v>
      </c>
      <c r="Y43" s="31">
        <v>12</v>
      </c>
      <c r="Z43" s="29">
        <v>5.5045871559632996E-3</v>
      </c>
      <c r="AA43" s="30">
        <v>0</v>
      </c>
      <c r="AB43" s="27">
        <v>8</v>
      </c>
      <c r="AC43" s="1">
        <v>0</v>
      </c>
      <c r="AD43" s="31">
        <v>8</v>
      </c>
      <c r="AE43" s="29">
        <v>3.59227660529861E-3</v>
      </c>
      <c r="AF43" s="30">
        <v>0</v>
      </c>
      <c r="AG43" s="27">
        <v>10</v>
      </c>
      <c r="AH43" s="1">
        <v>0</v>
      </c>
      <c r="AI43" s="31">
        <v>10</v>
      </c>
      <c r="AJ43" s="29">
        <v>4.7147571900047203E-3</v>
      </c>
      <c r="AK43" s="30">
        <v>0</v>
      </c>
      <c r="AL43" s="27">
        <v>0</v>
      </c>
      <c r="AM43" s="1">
        <v>0</v>
      </c>
      <c r="AN43" s="31">
        <v>0</v>
      </c>
      <c r="AO43" s="29">
        <v>0</v>
      </c>
      <c r="AP43" s="30" t="s">
        <v>24</v>
      </c>
      <c r="AQ43" s="22">
        <f t="shared" si="0"/>
        <v>30</v>
      </c>
      <c r="AR43" s="23">
        <f t="shared" si="1"/>
        <v>0</v>
      </c>
      <c r="AS43" s="44">
        <f t="shared" si="2"/>
        <v>30</v>
      </c>
      <c r="AT43" s="63">
        <f>AQ43/AQ42</f>
        <v>1.7226528854435831E-3</v>
      </c>
      <c r="AU43" s="52"/>
      <c r="BD43" s="121" t="s">
        <v>72</v>
      </c>
      <c r="BE43" s="121"/>
      <c r="BF43" s="121"/>
      <c r="BG43" s="121"/>
      <c r="BH43" s="121"/>
      <c r="BI43" s="3"/>
      <c r="BJ43" s="121" t="s">
        <v>73</v>
      </c>
      <c r="BK43" s="121"/>
      <c r="BL43" s="121"/>
      <c r="BM43" s="121"/>
      <c r="BN43" s="121"/>
      <c r="BO43" s="3"/>
      <c r="BP43" s="121" t="str">
        <f>BP6</f>
        <v>Q3 2024</v>
      </c>
      <c r="BQ43" s="121"/>
      <c r="BR43" s="121"/>
      <c r="BS43" s="121"/>
      <c r="BT43" s="121"/>
    </row>
    <row r="44" spans="1:72" x14ac:dyDescent="0.2">
      <c r="A44" s="129" t="s">
        <v>31</v>
      </c>
      <c r="B44" s="51" t="s">
        <v>51</v>
      </c>
      <c r="C44" s="27">
        <f>341+123+419+46</f>
        <v>929</v>
      </c>
      <c r="D44" s="1">
        <v>868</v>
      </c>
      <c r="E44" s="69">
        <f t="shared" si="12"/>
        <v>61</v>
      </c>
      <c r="F44" s="29">
        <f t="shared" ref="F44:F48" si="43">C44/$H$42</f>
        <v>0.42693014705882354</v>
      </c>
      <c r="G44" s="30">
        <v>0.38786535531236999</v>
      </c>
      <c r="H44" s="27">
        <v>955</v>
      </c>
      <c r="I44" s="1">
        <v>868</v>
      </c>
      <c r="J44" s="69">
        <f t="shared" si="13"/>
        <v>87</v>
      </c>
      <c r="K44" s="29">
        <f t="shared" ref="K44:K48" si="44">H44/$H$42</f>
        <v>0.43887867647058826</v>
      </c>
      <c r="L44" s="30">
        <v>0.38786535531236999</v>
      </c>
      <c r="M44" s="27">
        <v>949</v>
      </c>
      <c r="N44" s="1">
        <v>840</v>
      </c>
      <c r="O44" s="69">
        <f t="shared" si="14"/>
        <v>109</v>
      </c>
      <c r="P44" s="29">
        <f t="shared" si="42"/>
        <v>0.44098513011152418</v>
      </c>
      <c r="Q44" s="30">
        <v>0.38786535531236999</v>
      </c>
      <c r="R44" s="27">
        <v>985</v>
      </c>
      <c r="S44" s="1">
        <v>868</v>
      </c>
      <c r="T44" s="31">
        <v>117</v>
      </c>
      <c r="U44" s="29">
        <v>0.444695259593679</v>
      </c>
      <c r="V44" s="30">
        <v>0.38786535531236999</v>
      </c>
      <c r="W44" s="27">
        <v>960</v>
      </c>
      <c r="X44" s="1">
        <v>840</v>
      </c>
      <c r="Y44" s="31">
        <v>120</v>
      </c>
      <c r="Z44" s="29">
        <v>0.44036697247706402</v>
      </c>
      <c r="AA44" s="30">
        <v>0.38786535531236999</v>
      </c>
      <c r="AB44" s="27">
        <v>1007</v>
      </c>
      <c r="AC44" s="1">
        <v>868</v>
      </c>
      <c r="AD44" s="31">
        <v>139</v>
      </c>
      <c r="AE44" s="29">
        <v>0.45217781769196203</v>
      </c>
      <c r="AF44" s="30">
        <v>0.38786535531236999</v>
      </c>
      <c r="AG44" s="27">
        <v>1007</v>
      </c>
      <c r="AH44" s="1">
        <v>812</v>
      </c>
      <c r="AI44" s="31">
        <v>195</v>
      </c>
      <c r="AJ44" s="29">
        <v>0.47477604903347498</v>
      </c>
      <c r="AK44" s="30">
        <v>0.38786535531236999</v>
      </c>
      <c r="AL44" s="27">
        <v>1092</v>
      </c>
      <c r="AM44" s="1">
        <v>868</v>
      </c>
      <c r="AN44" s="31">
        <v>224</v>
      </c>
      <c r="AO44" s="29">
        <v>0.493670886075949</v>
      </c>
      <c r="AP44" s="30">
        <v>0.38786535531236999</v>
      </c>
      <c r="AQ44" s="22">
        <f t="shared" si="0"/>
        <v>7884</v>
      </c>
      <c r="AR44" s="23">
        <f t="shared" si="1"/>
        <v>6832</v>
      </c>
      <c r="AS44" s="44">
        <f t="shared" si="2"/>
        <v>1052</v>
      </c>
      <c r="AT44" s="63">
        <f>AQ44/AQ42</f>
        <v>0.45271317829457364</v>
      </c>
      <c r="AU44" s="52"/>
      <c r="BD44" s="116" t="s">
        <v>68</v>
      </c>
      <c r="BE44" s="117"/>
      <c r="BF44" s="117"/>
      <c r="BG44" s="117"/>
      <c r="BH44" s="60"/>
      <c r="BI44" s="122" t="s">
        <v>77</v>
      </c>
      <c r="BJ44" s="116" t="s">
        <v>68</v>
      </c>
      <c r="BK44" s="117"/>
      <c r="BL44" s="117"/>
      <c r="BM44" s="117"/>
      <c r="BN44" s="60"/>
      <c r="BO44" s="122" t="s">
        <v>77</v>
      </c>
      <c r="BP44" s="116" t="s">
        <v>68</v>
      </c>
      <c r="BQ44" s="117"/>
      <c r="BR44" s="117"/>
      <c r="BS44" s="117"/>
      <c r="BT44" s="60"/>
    </row>
    <row r="45" spans="1:72" x14ac:dyDescent="0.2">
      <c r="A45" s="129" t="s">
        <v>31</v>
      </c>
      <c r="B45" s="51" t="s">
        <v>50</v>
      </c>
      <c r="C45" s="27">
        <v>62</v>
      </c>
      <c r="D45" s="1">
        <v>0</v>
      </c>
      <c r="E45" s="69">
        <f t="shared" si="12"/>
        <v>62</v>
      </c>
      <c r="F45" s="29">
        <f t="shared" si="43"/>
        <v>2.8492647058823529E-2</v>
      </c>
      <c r="G45" s="30" t="s">
        <v>24</v>
      </c>
      <c r="H45" s="27">
        <v>62</v>
      </c>
      <c r="I45" s="1">
        <v>0</v>
      </c>
      <c r="J45" s="69">
        <f t="shared" si="13"/>
        <v>62</v>
      </c>
      <c r="K45" s="29">
        <f t="shared" si="44"/>
        <v>2.8492647058823529E-2</v>
      </c>
      <c r="L45" s="30" t="s">
        <v>24</v>
      </c>
      <c r="M45" s="27">
        <v>60</v>
      </c>
      <c r="N45" s="1">
        <v>0</v>
      </c>
      <c r="O45" s="69">
        <f t="shared" si="14"/>
        <v>60</v>
      </c>
      <c r="P45" s="29">
        <f t="shared" si="42"/>
        <v>2.7881040892193308E-2</v>
      </c>
      <c r="Q45" s="30" t="s">
        <v>24</v>
      </c>
      <c r="R45" s="27">
        <v>62</v>
      </c>
      <c r="S45" s="1">
        <v>0</v>
      </c>
      <c r="T45" s="31">
        <v>62</v>
      </c>
      <c r="U45" s="29">
        <v>2.7990970654627498E-2</v>
      </c>
      <c r="V45" s="30">
        <v>0</v>
      </c>
      <c r="W45" s="27">
        <v>60</v>
      </c>
      <c r="X45" s="1">
        <v>0</v>
      </c>
      <c r="Y45" s="31">
        <v>60</v>
      </c>
      <c r="Z45" s="29">
        <v>2.7522935779816501E-2</v>
      </c>
      <c r="AA45" s="30">
        <v>0</v>
      </c>
      <c r="AB45" s="27">
        <v>41</v>
      </c>
      <c r="AC45" s="1">
        <v>0</v>
      </c>
      <c r="AD45" s="31">
        <v>41</v>
      </c>
      <c r="AE45" s="29">
        <v>1.84104176021554E-2</v>
      </c>
      <c r="AF45" s="30">
        <v>0</v>
      </c>
      <c r="AG45" s="27">
        <v>0</v>
      </c>
      <c r="AH45" s="1">
        <v>0</v>
      </c>
      <c r="AI45" s="31">
        <v>0</v>
      </c>
      <c r="AJ45" s="29" t="s">
        <v>24</v>
      </c>
      <c r="AK45" s="30" t="s">
        <v>24</v>
      </c>
      <c r="AL45" s="27">
        <v>0</v>
      </c>
      <c r="AM45" s="1">
        <v>0</v>
      </c>
      <c r="AN45" s="31">
        <v>0</v>
      </c>
      <c r="AO45" s="29" t="s">
        <v>24</v>
      </c>
      <c r="AP45" s="30" t="s">
        <v>24</v>
      </c>
      <c r="AQ45" s="22">
        <f t="shared" si="0"/>
        <v>347</v>
      </c>
      <c r="AR45" s="23">
        <f t="shared" si="1"/>
        <v>0</v>
      </c>
      <c r="AS45" s="44">
        <f t="shared" si="2"/>
        <v>347</v>
      </c>
      <c r="AT45" s="63">
        <f>AQ45/AQ42</f>
        <v>1.9925351708297446E-2</v>
      </c>
      <c r="AU45" s="52"/>
      <c r="BD45" s="72"/>
      <c r="BE45" s="73" t="s">
        <v>40</v>
      </c>
      <c r="BF45" s="74" t="s">
        <v>69</v>
      </c>
      <c r="BG45" s="73" t="s">
        <v>40</v>
      </c>
      <c r="BH45" s="75" t="s">
        <v>69</v>
      </c>
      <c r="BI45" s="122"/>
      <c r="BJ45" s="72"/>
      <c r="BK45" s="73" t="s">
        <v>40</v>
      </c>
      <c r="BL45" s="74" t="s">
        <v>69</v>
      </c>
      <c r="BM45" s="73" t="s">
        <v>40</v>
      </c>
      <c r="BN45" s="75" t="s">
        <v>69</v>
      </c>
      <c r="BO45" s="122"/>
      <c r="BP45" s="72"/>
      <c r="BQ45" s="73" t="s">
        <v>40</v>
      </c>
      <c r="BR45" s="74" t="s">
        <v>69</v>
      </c>
      <c r="BS45" s="73" t="s">
        <v>40</v>
      </c>
      <c r="BT45" s="75" t="s">
        <v>69</v>
      </c>
    </row>
    <row r="46" spans="1:72" x14ac:dyDescent="0.2">
      <c r="A46" s="129" t="s">
        <v>31</v>
      </c>
      <c r="B46" s="51" t="s">
        <v>49</v>
      </c>
      <c r="C46" s="27">
        <v>1</v>
      </c>
      <c r="D46" s="1">
        <v>62</v>
      </c>
      <c r="E46" s="28">
        <f t="shared" si="12"/>
        <v>-61</v>
      </c>
      <c r="F46" s="29">
        <f t="shared" si="43"/>
        <v>4.5955882352941176E-4</v>
      </c>
      <c r="G46" s="30">
        <v>2.7427621554231899E-2</v>
      </c>
      <c r="H46" s="27">
        <v>29</v>
      </c>
      <c r="I46" s="1">
        <v>62</v>
      </c>
      <c r="J46" s="28">
        <f t="shared" si="13"/>
        <v>-33</v>
      </c>
      <c r="K46" s="29">
        <f t="shared" si="44"/>
        <v>1.3327205882352941E-2</v>
      </c>
      <c r="L46" s="30">
        <v>2.7427621554231899E-2</v>
      </c>
      <c r="M46" s="27">
        <f>38+12+15</f>
        <v>65</v>
      </c>
      <c r="N46" s="1">
        <v>59.4</v>
      </c>
      <c r="O46" s="69">
        <f t="shared" si="14"/>
        <v>5.6000000000000014</v>
      </c>
      <c r="P46" s="29">
        <f t="shared" si="42"/>
        <v>3.0204460966542751E-2</v>
      </c>
      <c r="Q46" s="30">
        <v>2.7427621554231899E-2</v>
      </c>
      <c r="R46" s="27">
        <v>8</v>
      </c>
      <c r="S46" s="1">
        <v>61.38</v>
      </c>
      <c r="T46" s="28">
        <v>-53.38</v>
      </c>
      <c r="U46" s="29">
        <v>3.6117381489842002E-3</v>
      </c>
      <c r="V46" s="30">
        <v>2.7427621554231899E-2</v>
      </c>
      <c r="W46" s="27">
        <v>0</v>
      </c>
      <c r="X46" s="1">
        <v>59.4</v>
      </c>
      <c r="Y46" s="28">
        <v>-59.4</v>
      </c>
      <c r="Z46" s="29">
        <v>0</v>
      </c>
      <c r="AA46" s="30">
        <v>2.7427621554231899E-2</v>
      </c>
      <c r="AB46" s="27">
        <v>0</v>
      </c>
      <c r="AC46" s="1">
        <v>61.38</v>
      </c>
      <c r="AD46" s="28">
        <v>-61.38</v>
      </c>
      <c r="AE46" s="29">
        <v>0</v>
      </c>
      <c r="AF46" s="30">
        <v>2.7427621554231899E-2</v>
      </c>
      <c r="AG46" s="27">
        <v>30</v>
      </c>
      <c r="AH46" s="1">
        <v>57.42</v>
      </c>
      <c r="AI46" s="28">
        <v>-27.42</v>
      </c>
      <c r="AJ46" s="29">
        <v>1.41442715700141E-2</v>
      </c>
      <c r="AK46" s="30">
        <v>2.7427621554231899E-2</v>
      </c>
      <c r="AL46" s="27">
        <v>9</v>
      </c>
      <c r="AM46" s="1">
        <v>61.38</v>
      </c>
      <c r="AN46" s="28">
        <v>-52.38</v>
      </c>
      <c r="AO46" s="29">
        <v>4.06871609403255E-3</v>
      </c>
      <c r="AP46" s="30">
        <v>2.7427621554231899E-2</v>
      </c>
      <c r="AQ46" s="22">
        <f t="shared" si="0"/>
        <v>142</v>
      </c>
      <c r="AR46" s="23">
        <f t="shared" si="1"/>
        <v>484.36</v>
      </c>
      <c r="AS46" s="44">
        <f t="shared" si="2"/>
        <v>-342.36</v>
      </c>
      <c r="AT46" s="63">
        <f>AQ46/AQ42</f>
        <v>8.1538903244329601E-3</v>
      </c>
      <c r="AU46" s="52"/>
      <c r="BD46" s="72" t="s">
        <v>53</v>
      </c>
      <c r="BE46" s="76"/>
      <c r="BF46" s="77"/>
      <c r="BG46" s="78">
        <f>BE46/BE53</f>
        <v>0</v>
      </c>
      <c r="BH46" s="79">
        <f>BF46/BF53</f>
        <v>0</v>
      </c>
      <c r="BI46" s="122"/>
      <c r="BJ46" s="72" t="s">
        <v>53</v>
      </c>
      <c r="BK46" s="76"/>
      <c r="BL46" s="77"/>
      <c r="BM46" s="78">
        <f>BK46/BK53</f>
        <v>0</v>
      </c>
      <c r="BN46" s="79">
        <f>BL46/BL53</f>
        <v>0</v>
      </c>
      <c r="BO46" s="122"/>
      <c r="BP46" s="72" t="s">
        <v>53</v>
      </c>
      <c r="BQ46" s="76"/>
      <c r="BR46" s="77"/>
      <c r="BS46" s="78">
        <f>BQ46/BQ53</f>
        <v>0</v>
      </c>
      <c r="BT46" s="79">
        <f>BR46/BR53</f>
        <v>0</v>
      </c>
    </row>
    <row r="47" spans="1:72" x14ac:dyDescent="0.2">
      <c r="A47" s="129" t="s">
        <v>31</v>
      </c>
      <c r="B47" s="51" t="s">
        <v>48</v>
      </c>
      <c r="C47" s="27">
        <v>63</v>
      </c>
      <c r="D47" s="1">
        <v>78</v>
      </c>
      <c r="E47" s="28">
        <f t="shared" si="12"/>
        <v>-15</v>
      </c>
      <c r="F47" s="29">
        <f t="shared" si="43"/>
        <v>2.8952205882352942E-2</v>
      </c>
      <c r="G47" s="30">
        <v>3.3938218589832397E-2</v>
      </c>
      <c r="H47" s="27">
        <v>2</v>
      </c>
      <c r="I47" s="1">
        <v>78</v>
      </c>
      <c r="J47" s="28">
        <f t="shared" si="13"/>
        <v>-76</v>
      </c>
      <c r="K47" s="29">
        <f t="shared" si="44"/>
        <v>9.1911764705882352E-4</v>
      </c>
      <c r="L47" s="30">
        <v>3.3938218589832397E-2</v>
      </c>
      <c r="M47" s="27">
        <v>3</v>
      </c>
      <c r="N47" s="1">
        <v>73.5</v>
      </c>
      <c r="O47" s="28">
        <f t="shared" si="14"/>
        <v>-70.5</v>
      </c>
      <c r="P47" s="29">
        <f t="shared" si="42"/>
        <v>1.3940520446096654E-3</v>
      </c>
      <c r="Q47" s="30">
        <v>3.3938218589832397E-2</v>
      </c>
      <c r="R47" s="27">
        <v>23</v>
      </c>
      <c r="S47" s="1">
        <v>75.95</v>
      </c>
      <c r="T47" s="28">
        <v>-52.95</v>
      </c>
      <c r="U47" s="29">
        <v>1.03837471783296E-2</v>
      </c>
      <c r="V47" s="30">
        <v>3.3938218589832397E-2</v>
      </c>
      <c r="W47" s="27">
        <v>14</v>
      </c>
      <c r="X47" s="1">
        <v>73.5</v>
      </c>
      <c r="Y47" s="28">
        <v>-59.5</v>
      </c>
      <c r="Z47" s="29">
        <v>6.4220183486238501E-3</v>
      </c>
      <c r="AA47" s="30">
        <v>3.3938218589832397E-2</v>
      </c>
      <c r="AB47" s="27">
        <v>3</v>
      </c>
      <c r="AC47" s="1">
        <v>75.95</v>
      </c>
      <c r="AD47" s="28">
        <v>-72.95</v>
      </c>
      <c r="AE47" s="29">
        <v>1.34710372698698E-3</v>
      </c>
      <c r="AF47" s="30">
        <v>3.3938218589832397E-2</v>
      </c>
      <c r="AG47" s="27">
        <v>63</v>
      </c>
      <c r="AH47" s="1">
        <v>71.05</v>
      </c>
      <c r="AI47" s="28">
        <v>-8.0500000000000398</v>
      </c>
      <c r="AJ47" s="29">
        <v>2.9702970297029702E-2</v>
      </c>
      <c r="AK47" s="30">
        <v>3.3938218589832397E-2</v>
      </c>
      <c r="AL47" s="27">
        <v>34</v>
      </c>
      <c r="AM47" s="1">
        <v>75.95</v>
      </c>
      <c r="AN47" s="28">
        <v>-41.95</v>
      </c>
      <c r="AO47" s="29">
        <v>1.5370705244123E-2</v>
      </c>
      <c r="AP47" s="30">
        <v>3.3938218589832397E-2</v>
      </c>
      <c r="AQ47" s="22">
        <f t="shared" si="0"/>
        <v>205</v>
      </c>
      <c r="AR47" s="23">
        <f t="shared" si="1"/>
        <v>601.9</v>
      </c>
      <c r="AS47" s="44">
        <f t="shared" si="2"/>
        <v>-396.9</v>
      </c>
      <c r="AT47" s="63">
        <f>AQ47/AQ42</f>
        <v>1.1771461383864484E-2</v>
      </c>
      <c r="AU47" s="52"/>
      <c r="BD47" s="72" t="s">
        <v>52</v>
      </c>
      <c r="BE47" s="76">
        <f>AB30+AG30+AL30</f>
        <v>0</v>
      </c>
      <c r="BF47" s="77">
        <f>AC30+AH30+AM30</f>
        <v>0</v>
      </c>
      <c r="BG47" s="78">
        <f>BE47/BE53</f>
        <v>0</v>
      </c>
      <c r="BH47" s="79">
        <f>BF47/BF53</f>
        <v>0</v>
      </c>
      <c r="BI47" s="122"/>
      <c r="BJ47" s="72" t="s">
        <v>52</v>
      </c>
      <c r="BK47" s="76">
        <f>M30+R30+W30</f>
        <v>18</v>
      </c>
      <c r="BL47" s="77">
        <f>N30+S30+X30</f>
        <v>0</v>
      </c>
      <c r="BM47" s="78">
        <f>BK47/BK53</f>
        <v>3.2022771748799147E-3</v>
      </c>
      <c r="BN47" s="79">
        <f>BL47/BL53</f>
        <v>0</v>
      </c>
      <c r="BO47" s="122"/>
      <c r="BP47" s="72" t="s">
        <v>52</v>
      </c>
      <c r="BQ47" s="76">
        <f>C30+H30</f>
        <v>28</v>
      </c>
      <c r="BR47" s="77">
        <f>D30+I30</f>
        <v>0</v>
      </c>
      <c r="BS47" s="78">
        <f>BQ47/BQ53</f>
        <v>7.2973677352097992E-3</v>
      </c>
      <c r="BT47" s="79">
        <f>BR47/BR53</f>
        <v>0</v>
      </c>
    </row>
    <row r="48" spans="1:72" ht="13.5" thickBot="1" x14ac:dyDescent="0.25">
      <c r="A48" s="126" t="s">
        <v>31</v>
      </c>
      <c r="B48" s="53" t="s">
        <v>47</v>
      </c>
      <c r="C48" s="32">
        <f>1046+31</f>
        <v>1077</v>
      </c>
      <c r="D48" s="33">
        <v>1162</v>
      </c>
      <c r="E48" s="34">
        <f t="shared" si="12"/>
        <v>-85</v>
      </c>
      <c r="F48" s="35">
        <f t="shared" si="43"/>
        <v>0.49494485294117646</v>
      </c>
      <c r="G48" s="36">
        <v>0.55076880454356503</v>
      </c>
      <c r="H48" s="32">
        <v>1128</v>
      </c>
      <c r="I48" s="33">
        <v>1163</v>
      </c>
      <c r="J48" s="34">
        <f t="shared" si="13"/>
        <v>-35</v>
      </c>
      <c r="K48" s="35">
        <f t="shared" si="44"/>
        <v>0.51838235294117652</v>
      </c>
      <c r="L48" s="36">
        <v>0.55076880454356503</v>
      </c>
      <c r="M48" s="32">
        <v>1075</v>
      </c>
      <c r="N48" s="33">
        <v>1192.8</v>
      </c>
      <c r="O48" s="34">
        <f t="shared" si="14"/>
        <v>-117.79999999999995</v>
      </c>
      <c r="P48" s="35">
        <f t="shared" si="42"/>
        <v>0.49953531598513012</v>
      </c>
      <c r="Q48" s="36">
        <v>0.55076880454356503</v>
      </c>
      <c r="R48" s="32">
        <v>1137</v>
      </c>
      <c r="S48" s="33">
        <v>1232.56</v>
      </c>
      <c r="T48" s="34">
        <v>-95.559999999999903</v>
      </c>
      <c r="U48" s="35">
        <v>0.51331828442437899</v>
      </c>
      <c r="V48" s="36">
        <v>0.55076880454356503</v>
      </c>
      <c r="W48" s="32">
        <v>1134</v>
      </c>
      <c r="X48" s="33">
        <v>1192.8</v>
      </c>
      <c r="Y48" s="34">
        <v>-58.8</v>
      </c>
      <c r="Z48" s="35">
        <v>0.52018348623853194</v>
      </c>
      <c r="AA48" s="36">
        <v>0.55076880454356503</v>
      </c>
      <c r="AB48" s="32">
        <v>1168</v>
      </c>
      <c r="AC48" s="33">
        <v>1232.56</v>
      </c>
      <c r="AD48" s="34">
        <v>-64.559999999999903</v>
      </c>
      <c r="AE48" s="35">
        <v>0.524472384373597</v>
      </c>
      <c r="AF48" s="36">
        <v>0.55076880454356503</v>
      </c>
      <c r="AG48" s="32">
        <v>1011</v>
      </c>
      <c r="AH48" s="33">
        <v>1153.04</v>
      </c>
      <c r="AI48" s="34">
        <v>-142.04</v>
      </c>
      <c r="AJ48" s="35">
        <v>0.47666195190947702</v>
      </c>
      <c r="AK48" s="36">
        <v>0.55076880454356503</v>
      </c>
      <c r="AL48" s="32">
        <v>1077</v>
      </c>
      <c r="AM48" s="33">
        <v>1232.56</v>
      </c>
      <c r="AN48" s="34">
        <v>-155.56</v>
      </c>
      <c r="AO48" s="35">
        <v>0.48688969258589498</v>
      </c>
      <c r="AP48" s="36">
        <v>0.55076880454356503</v>
      </c>
      <c r="AQ48" s="40">
        <f t="shared" si="0"/>
        <v>8807</v>
      </c>
      <c r="AR48" s="41">
        <f t="shared" si="1"/>
        <v>9561.32</v>
      </c>
      <c r="AS48" s="42">
        <f t="shared" si="2"/>
        <v>-754.31999999999971</v>
      </c>
      <c r="AT48" s="68">
        <f>AQ48/AQ42</f>
        <v>0.50571346540338791</v>
      </c>
      <c r="AU48" s="54"/>
      <c r="BD48" s="72" t="s">
        <v>51</v>
      </c>
      <c r="BE48" s="76">
        <f>AB29+AG29+AL29</f>
        <v>2356</v>
      </c>
      <c r="BF48" s="77">
        <f>AC29+AH29+AM29</f>
        <v>2525.25</v>
      </c>
      <c r="BG48" s="78">
        <f>BE48/BE53</f>
        <v>0.41862117981520969</v>
      </c>
      <c r="BH48" s="79">
        <f>BF48/BF53</f>
        <v>0.45867768595041325</v>
      </c>
      <c r="BI48" s="122"/>
      <c r="BJ48" s="72" t="s">
        <v>51</v>
      </c>
      <c r="BK48" s="76">
        <f>M29+R29+W29</f>
        <v>2320</v>
      </c>
      <c r="BL48" s="77">
        <f>N29+S29+X29</f>
        <v>2525.25</v>
      </c>
      <c r="BM48" s="78">
        <f>BK48/BK53</f>
        <v>0.41273794698452232</v>
      </c>
      <c r="BN48" s="79">
        <f>BL48/BL53</f>
        <v>0.45867768595041325</v>
      </c>
      <c r="BO48" s="122"/>
      <c r="BP48" s="72" t="s">
        <v>51</v>
      </c>
      <c r="BQ48" s="76">
        <f>C29+H29</f>
        <v>1563</v>
      </c>
      <c r="BR48" s="77">
        <f>D29+I29</f>
        <v>1720</v>
      </c>
      <c r="BS48" s="78">
        <f>BQ48/BQ53</f>
        <v>0.40734949179046132</v>
      </c>
      <c r="BT48" s="79">
        <f>BR48/BR53</f>
        <v>0.45866666666666667</v>
      </c>
    </row>
    <row r="49" spans="56:72" x14ac:dyDescent="0.2">
      <c r="BD49" s="72" t="s">
        <v>50</v>
      </c>
      <c r="BE49" s="76">
        <f t="shared" ref="BE49:BF52" si="45">AB31+AG31+AL31</f>
        <v>91</v>
      </c>
      <c r="BF49" s="77">
        <f t="shared" si="45"/>
        <v>0</v>
      </c>
      <c r="BG49" s="78">
        <f>BE49/BE53</f>
        <v>1.6169154228855721E-2</v>
      </c>
      <c r="BH49" s="79">
        <f>BF49/BF53</f>
        <v>0</v>
      </c>
      <c r="BI49" s="122"/>
      <c r="BJ49" s="72" t="s">
        <v>50</v>
      </c>
      <c r="BK49" s="76">
        <f t="shared" ref="BK49:BL52" si="46">M31+R31+W31</f>
        <v>30</v>
      </c>
      <c r="BL49" s="77">
        <f t="shared" si="46"/>
        <v>0</v>
      </c>
      <c r="BM49" s="78">
        <f>BK49/BK53</f>
        <v>5.3371286247998577E-3</v>
      </c>
      <c r="BN49" s="79">
        <f>BL49/BL53</f>
        <v>0</v>
      </c>
      <c r="BO49" s="122"/>
      <c r="BP49" s="72" t="s">
        <v>50</v>
      </c>
      <c r="BQ49" s="76">
        <f t="shared" ref="BQ49:BR52" si="47">C31+H31</f>
        <v>124</v>
      </c>
      <c r="BR49" s="77">
        <f t="shared" si="47"/>
        <v>0</v>
      </c>
      <c r="BS49" s="78">
        <f>BQ49/BQ53</f>
        <v>3.2316914255929113E-2</v>
      </c>
      <c r="BT49" s="79">
        <f>BR49/BR53</f>
        <v>0</v>
      </c>
    </row>
    <row r="50" spans="56:72" x14ac:dyDescent="0.2">
      <c r="BD50" s="72" t="s">
        <v>49</v>
      </c>
      <c r="BE50" s="76">
        <f t="shared" si="45"/>
        <v>263</v>
      </c>
      <c r="BF50" s="77">
        <f t="shared" si="45"/>
        <v>465.01</v>
      </c>
      <c r="BG50" s="78">
        <f>BE50/BE53</f>
        <v>4.6730632551528074E-2</v>
      </c>
      <c r="BH50" s="79">
        <f>BF50/BF53</f>
        <v>8.4462809917355372E-2</v>
      </c>
      <c r="BI50" s="122"/>
      <c r="BJ50" s="72" t="s">
        <v>49</v>
      </c>
      <c r="BK50" s="76">
        <f t="shared" si="46"/>
        <v>274</v>
      </c>
      <c r="BL50" s="77">
        <f t="shared" si="46"/>
        <v>465.01000000000005</v>
      </c>
      <c r="BM50" s="78">
        <f>BK50/BK53</f>
        <v>4.8745774773172032E-2</v>
      </c>
      <c r="BN50" s="79">
        <f>BL50/BL53</f>
        <v>8.4462809917355386E-2</v>
      </c>
      <c r="BO50" s="122"/>
      <c r="BP50" s="72" t="s">
        <v>49</v>
      </c>
      <c r="BQ50" s="76">
        <f t="shared" si="47"/>
        <v>79</v>
      </c>
      <c r="BR50" s="77">
        <f t="shared" si="47"/>
        <v>316</v>
      </c>
      <c r="BS50" s="78">
        <f>BQ50/BQ53</f>
        <v>2.0589001824341934E-2</v>
      </c>
      <c r="BT50" s="79">
        <f>BR50/BR53</f>
        <v>8.426666666666667E-2</v>
      </c>
    </row>
    <row r="51" spans="56:72" x14ac:dyDescent="0.2">
      <c r="BD51" s="72" t="s">
        <v>48</v>
      </c>
      <c r="BE51" s="76">
        <f t="shared" si="45"/>
        <v>1088</v>
      </c>
      <c r="BF51" s="77">
        <f t="shared" si="45"/>
        <v>1057.42</v>
      </c>
      <c r="BG51" s="78">
        <f>BE51/BE53</f>
        <v>0.19331911869225302</v>
      </c>
      <c r="BH51" s="79">
        <f>BF51/BF53</f>
        <v>0.19206611570247936</v>
      </c>
      <c r="BI51" s="122"/>
      <c r="BJ51" s="72" t="s">
        <v>48</v>
      </c>
      <c r="BK51" s="76">
        <f t="shared" si="46"/>
        <v>1212</v>
      </c>
      <c r="BL51" s="77">
        <f t="shared" si="46"/>
        <v>1057.42</v>
      </c>
      <c r="BM51" s="78">
        <f>BK51/BK53</f>
        <v>0.21561999644191426</v>
      </c>
      <c r="BN51" s="79">
        <f>BL51/BL53</f>
        <v>0.19206611570247936</v>
      </c>
      <c r="BO51" s="122"/>
      <c r="BP51" s="72" t="s">
        <v>48</v>
      </c>
      <c r="BQ51" s="76">
        <f t="shared" si="47"/>
        <v>785</v>
      </c>
      <c r="BR51" s="77">
        <f t="shared" si="47"/>
        <v>720</v>
      </c>
      <c r="BS51" s="78">
        <f>BQ51/BQ53</f>
        <v>0.20458691686213187</v>
      </c>
      <c r="BT51" s="79">
        <f>BR51/BR53</f>
        <v>0.192</v>
      </c>
    </row>
    <row r="52" spans="56:72" x14ac:dyDescent="0.2">
      <c r="BD52" s="72" t="s">
        <v>47</v>
      </c>
      <c r="BE52" s="76">
        <f t="shared" si="45"/>
        <v>1830</v>
      </c>
      <c r="BF52" s="77">
        <f t="shared" si="45"/>
        <v>1457.8200000000002</v>
      </c>
      <c r="BG52" s="78">
        <f>BE52/BE53</f>
        <v>0.3251599147121535</v>
      </c>
      <c r="BH52" s="79">
        <f>BF52/BF53</f>
        <v>0.26479338842975209</v>
      </c>
      <c r="BI52" s="122"/>
      <c r="BJ52" s="72" t="s">
        <v>47</v>
      </c>
      <c r="BK52" s="76">
        <f t="shared" si="46"/>
        <v>1767</v>
      </c>
      <c r="BL52" s="77">
        <f t="shared" si="46"/>
        <v>1457.8200000000002</v>
      </c>
      <c r="BM52" s="78">
        <f>BK52/BK53</f>
        <v>0.3143568760007116</v>
      </c>
      <c r="BN52" s="79">
        <f>BL52/BL53</f>
        <v>0.26479338842975209</v>
      </c>
      <c r="BO52" s="122"/>
      <c r="BP52" s="72" t="s">
        <v>47</v>
      </c>
      <c r="BQ52" s="76">
        <f t="shared" si="47"/>
        <v>1258</v>
      </c>
      <c r="BR52" s="77">
        <f t="shared" si="47"/>
        <v>994</v>
      </c>
      <c r="BS52" s="78">
        <f>BQ52/BQ53</f>
        <v>0.32786030753192597</v>
      </c>
      <c r="BT52" s="79">
        <f>BR52/BR53</f>
        <v>0.26506666666666667</v>
      </c>
    </row>
    <row r="53" spans="56:72" ht="13.5" thickBot="1" x14ac:dyDescent="0.25">
      <c r="BD53" s="80"/>
      <c r="BE53" s="81">
        <f>SUM(BE46:BE52)</f>
        <v>5628</v>
      </c>
      <c r="BF53" s="82">
        <f>SUM(BF46:BF52)</f>
        <v>5505.5</v>
      </c>
      <c r="BG53" s="83">
        <f>SUM(BG46:BG52)</f>
        <v>1</v>
      </c>
      <c r="BH53" s="84">
        <f>BF53/BF53</f>
        <v>1</v>
      </c>
      <c r="BI53" s="122"/>
      <c r="BJ53" s="80"/>
      <c r="BK53" s="81">
        <f>SUM(BK46:BK52)</f>
        <v>5621</v>
      </c>
      <c r="BL53" s="82">
        <f>SUM(BL46:BL52)</f>
        <v>5505.5</v>
      </c>
      <c r="BM53" s="83">
        <f>SUM(BM46:BM52)</f>
        <v>1</v>
      </c>
      <c r="BN53" s="84">
        <f>BL53/BL53</f>
        <v>1</v>
      </c>
      <c r="BO53" s="122"/>
      <c r="BP53" s="80"/>
      <c r="BQ53" s="81">
        <f>SUM(BQ46:BQ52)</f>
        <v>3837</v>
      </c>
      <c r="BR53" s="82">
        <f>SUM(BR46:BR52)</f>
        <v>3750</v>
      </c>
      <c r="BS53" s="83">
        <f>SUM(BS46:BS52)</f>
        <v>1</v>
      </c>
      <c r="BT53" s="84">
        <f>BR53/BR53</f>
        <v>1</v>
      </c>
    </row>
    <row r="55" spans="56:72" ht="13.5" thickBot="1" x14ac:dyDescent="0.25">
      <c r="BD55" s="121" t="s">
        <v>72</v>
      </c>
      <c r="BE55" s="121"/>
      <c r="BF55" s="121"/>
      <c r="BG55" s="121"/>
      <c r="BH55" s="121"/>
      <c r="BI55" s="3"/>
      <c r="BJ55" s="121" t="s">
        <v>73</v>
      </c>
      <c r="BK55" s="121"/>
      <c r="BL55" s="121"/>
      <c r="BM55" s="121"/>
      <c r="BN55" s="121"/>
      <c r="BO55" s="3"/>
      <c r="BP55" s="121" t="str">
        <f>BP6</f>
        <v>Q3 2024</v>
      </c>
      <c r="BQ55" s="121"/>
      <c r="BR55" s="121"/>
      <c r="BS55" s="121"/>
      <c r="BT55" s="121"/>
    </row>
    <row r="56" spans="56:72" x14ac:dyDescent="0.2">
      <c r="BD56" s="116" t="s">
        <v>68</v>
      </c>
      <c r="BE56" s="117"/>
      <c r="BF56" s="117"/>
      <c r="BG56" s="117"/>
      <c r="BH56" s="60"/>
      <c r="BI56" s="122" t="s">
        <v>78</v>
      </c>
      <c r="BJ56" s="116" t="s">
        <v>68</v>
      </c>
      <c r="BK56" s="117"/>
      <c r="BL56" s="117"/>
      <c r="BM56" s="117"/>
      <c r="BN56" s="60"/>
      <c r="BO56" s="122" t="s">
        <v>78</v>
      </c>
      <c r="BP56" s="116" t="s">
        <v>68</v>
      </c>
      <c r="BQ56" s="117"/>
      <c r="BR56" s="117"/>
      <c r="BS56" s="117"/>
      <c r="BT56" s="60"/>
    </row>
    <row r="57" spans="56:72" x14ac:dyDescent="0.2">
      <c r="BD57" s="72"/>
      <c r="BE57" s="73" t="s">
        <v>40</v>
      </c>
      <c r="BF57" s="74" t="s">
        <v>69</v>
      </c>
      <c r="BG57" s="73" t="s">
        <v>40</v>
      </c>
      <c r="BH57" s="75" t="s">
        <v>69</v>
      </c>
      <c r="BI57" s="122"/>
      <c r="BJ57" s="72"/>
      <c r="BK57" s="73" t="s">
        <v>40</v>
      </c>
      <c r="BL57" s="74" t="s">
        <v>69</v>
      </c>
      <c r="BM57" s="73" t="s">
        <v>40</v>
      </c>
      <c r="BN57" s="75" t="s">
        <v>69</v>
      </c>
      <c r="BO57" s="122"/>
      <c r="BP57" s="72"/>
      <c r="BQ57" s="73" t="s">
        <v>40</v>
      </c>
      <c r="BR57" s="74" t="s">
        <v>69</v>
      </c>
      <c r="BS57" s="73" t="s">
        <v>40</v>
      </c>
      <c r="BT57" s="75" t="s">
        <v>69</v>
      </c>
    </row>
    <row r="58" spans="56:72" x14ac:dyDescent="0.2">
      <c r="BD58" s="72" t="s">
        <v>53</v>
      </c>
      <c r="BE58" s="76"/>
      <c r="BF58" s="77"/>
      <c r="BG58" s="78">
        <f>BE58/BE65</f>
        <v>0</v>
      </c>
      <c r="BH58" s="79">
        <f>BF58/BF65</f>
        <v>0</v>
      </c>
      <c r="BI58" s="122"/>
      <c r="BJ58" s="72" t="s">
        <v>53</v>
      </c>
      <c r="BK58" s="76"/>
      <c r="BL58" s="77"/>
      <c r="BM58" s="78">
        <f>BK58/BK65</f>
        <v>0</v>
      </c>
      <c r="BN58" s="79">
        <f>BL58/BL65</f>
        <v>0</v>
      </c>
      <c r="BO58" s="122"/>
      <c r="BP58" s="72" t="s">
        <v>53</v>
      </c>
      <c r="BQ58" s="76"/>
      <c r="BR58" s="77"/>
      <c r="BS58" s="78">
        <f>BQ58/BQ65</f>
        <v>0</v>
      </c>
      <c r="BT58" s="79">
        <f>BR58/BR65</f>
        <v>0</v>
      </c>
    </row>
    <row r="59" spans="56:72" x14ac:dyDescent="0.2">
      <c r="BD59" s="72" t="s">
        <v>52</v>
      </c>
      <c r="BE59" s="76">
        <f t="shared" ref="BE59:BF64" si="48">AB36+AG36+AL36</f>
        <v>242</v>
      </c>
      <c r="BF59" s="77">
        <f t="shared" si="48"/>
        <v>336.7</v>
      </c>
      <c r="BG59" s="78">
        <f>BE59/BE65</f>
        <v>2.9664133366021084E-2</v>
      </c>
      <c r="BH59" s="79">
        <f>BF59/BF65</f>
        <v>4.0217391304347823E-2</v>
      </c>
      <c r="BI59" s="122"/>
      <c r="BJ59" s="72" t="s">
        <v>52</v>
      </c>
      <c r="BK59" s="76">
        <f t="shared" ref="BK59:BL64" si="49">M36+R36+W36</f>
        <v>189</v>
      </c>
      <c r="BL59" s="77">
        <f t="shared" si="49"/>
        <v>336.7</v>
      </c>
      <c r="BM59" s="78">
        <f>BK59/BK65</f>
        <v>2.3147581139007962E-2</v>
      </c>
      <c r="BN59" s="79">
        <f>BL59/BL65</f>
        <v>4.0217391304347823E-2</v>
      </c>
      <c r="BO59" s="122"/>
      <c r="BP59" s="72" t="s">
        <v>52</v>
      </c>
      <c r="BQ59" s="76">
        <f t="shared" ref="BQ59:BR64" si="50">C36+H36</f>
        <v>75</v>
      </c>
      <c r="BR59" s="77">
        <f t="shared" si="50"/>
        <v>230</v>
      </c>
      <c r="BS59" s="78">
        <f>BQ59/BQ65</f>
        <v>1.3220518244315178E-2</v>
      </c>
      <c r="BT59" s="79">
        <f>BR59/BR65</f>
        <v>4.0315512708150744E-2</v>
      </c>
    </row>
    <row r="60" spans="56:72" x14ac:dyDescent="0.2">
      <c r="BD60" s="72" t="s">
        <v>51</v>
      </c>
      <c r="BE60" s="76">
        <f t="shared" si="48"/>
        <v>5079</v>
      </c>
      <c r="BF60" s="77">
        <f t="shared" si="48"/>
        <v>5279.82</v>
      </c>
      <c r="BG60" s="78">
        <f>BE60/BE65</f>
        <v>0.62257906349595493</v>
      </c>
      <c r="BH60" s="79">
        <f>BF60/BF65</f>
        <v>0.6306521739130434</v>
      </c>
      <c r="BI60" s="122"/>
      <c r="BJ60" s="72" t="s">
        <v>51</v>
      </c>
      <c r="BK60" s="76">
        <f t="shared" si="49"/>
        <v>5082</v>
      </c>
      <c r="BL60" s="77">
        <f t="shared" si="49"/>
        <v>5279.82</v>
      </c>
      <c r="BM60" s="78">
        <f>BK60/BK65</f>
        <v>0.62241273729332514</v>
      </c>
      <c r="BN60" s="79">
        <f>BL60/BL65</f>
        <v>0.6306521739130434</v>
      </c>
      <c r="BO60" s="122"/>
      <c r="BP60" s="72" t="s">
        <v>51</v>
      </c>
      <c r="BQ60" s="76">
        <f t="shared" si="50"/>
        <v>3463</v>
      </c>
      <c r="BR60" s="77">
        <f t="shared" si="50"/>
        <v>3597</v>
      </c>
      <c r="BS60" s="78">
        <f>BQ60/BQ65</f>
        <v>0.61043539573417949</v>
      </c>
      <c r="BT60" s="79">
        <f>BR60/BR65</f>
        <v>0.63049956178790534</v>
      </c>
    </row>
    <row r="61" spans="56:72" x14ac:dyDescent="0.2">
      <c r="BD61" s="72" t="s">
        <v>50</v>
      </c>
      <c r="BE61" s="76">
        <f t="shared" si="48"/>
        <v>0</v>
      </c>
      <c r="BF61" s="77">
        <f t="shared" si="48"/>
        <v>0</v>
      </c>
      <c r="BG61" s="78">
        <f>BE61/BE65</f>
        <v>0</v>
      </c>
      <c r="BH61" s="79">
        <f>BF61/BF65</f>
        <v>0</v>
      </c>
      <c r="BI61" s="122"/>
      <c r="BJ61" s="72" t="s">
        <v>50</v>
      </c>
      <c r="BK61" s="76">
        <f t="shared" si="49"/>
        <v>98</v>
      </c>
      <c r="BL61" s="77">
        <f t="shared" si="49"/>
        <v>0</v>
      </c>
      <c r="BM61" s="78">
        <f>BK61/BK65</f>
        <v>1.2002449479485609E-2</v>
      </c>
      <c r="BN61" s="79">
        <f>BL61/BL65</f>
        <v>0</v>
      </c>
      <c r="BO61" s="122"/>
      <c r="BP61" s="72" t="s">
        <v>50</v>
      </c>
      <c r="BQ61" s="76">
        <f t="shared" si="50"/>
        <v>186</v>
      </c>
      <c r="BR61" s="77">
        <f t="shared" si="50"/>
        <v>0</v>
      </c>
      <c r="BS61" s="78">
        <f>BQ61/BQ65</f>
        <v>3.2786885245901641E-2</v>
      </c>
      <c r="BT61" s="79">
        <f>BR61/BR65</f>
        <v>0</v>
      </c>
    </row>
    <row r="62" spans="56:72" x14ac:dyDescent="0.2">
      <c r="BD62" s="72" t="s">
        <v>49</v>
      </c>
      <c r="BE62" s="76">
        <f t="shared" si="48"/>
        <v>931</v>
      </c>
      <c r="BF62" s="77">
        <f t="shared" si="48"/>
        <v>728</v>
      </c>
      <c r="BG62" s="78">
        <f>BE62/BE65</f>
        <v>0.114121108114734</v>
      </c>
      <c r="BH62" s="79">
        <f>BF62/BF65</f>
        <v>8.6956521739130432E-2</v>
      </c>
      <c r="BI62" s="122"/>
      <c r="BJ62" s="72" t="s">
        <v>49</v>
      </c>
      <c r="BK62" s="76">
        <f t="shared" si="49"/>
        <v>911</v>
      </c>
      <c r="BL62" s="77">
        <f t="shared" si="49"/>
        <v>728</v>
      </c>
      <c r="BM62" s="78">
        <f>BK62/BK65</f>
        <v>0.11157379056950398</v>
      </c>
      <c r="BN62" s="79">
        <f>BL62/BL65</f>
        <v>8.6956521739130432E-2</v>
      </c>
      <c r="BO62" s="122"/>
      <c r="BP62" s="72" t="s">
        <v>49</v>
      </c>
      <c r="BQ62" s="76">
        <f t="shared" si="50"/>
        <v>675</v>
      </c>
      <c r="BR62" s="77">
        <f t="shared" si="50"/>
        <v>496</v>
      </c>
      <c r="BS62" s="78">
        <f>BQ62/BQ65</f>
        <v>0.11898466419883659</v>
      </c>
      <c r="BT62" s="79">
        <f>BR62/BR65</f>
        <v>8.6941279579316383E-2</v>
      </c>
    </row>
    <row r="63" spans="56:72" x14ac:dyDescent="0.2">
      <c r="BD63" s="72" t="s">
        <v>48</v>
      </c>
      <c r="BE63" s="76">
        <f t="shared" si="48"/>
        <v>759</v>
      </c>
      <c r="BF63" s="77">
        <f t="shared" si="48"/>
        <v>753.48</v>
      </c>
      <c r="BG63" s="78">
        <f>BE63/BE65</f>
        <v>9.3037509193429763E-2</v>
      </c>
      <c r="BH63" s="79">
        <f>BF63/BF65</f>
        <v>0.09</v>
      </c>
      <c r="BI63" s="122"/>
      <c r="BJ63" s="72" t="s">
        <v>48</v>
      </c>
      <c r="BK63" s="76">
        <f t="shared" si="49"/>
        <v>614</v>
      </c>
      <c r="BL63" s="77">
        <f t="shared" si="49"/>
        <v>753.48</v>
      </c>
      <c r="BM63" s="78">
        <f>BK63/BK65</f>
        <v>7.519902020820575E-2</v>
      </c>
      <c r="BN63" s="79">
        <f>BL63/BL65</f>
        <v>0.09</v>
      </c>
      <c r="BO63" s="122"/>
      <c r="BP63" s="72" t="s">
        <v>48</v>
      </c>
      <c r="BQ63" s="76">
        <f t="shared" si="50"/>
        <v>414</v>
      </c>
      <c r="BR63" s="77">
        <f t="shared" si="50"/>
        <v>514</v>
      </c>
      <c r="BS63" s="78">
        <f>BQ63/BQ65</f>
        <v>7.2977260708619776E-2</v>
      </c>
      <c r="BT63" s="79">
        <f>BR63/BR65</f>
        <v>9.0096406660823844E-2</v>
      </c>
    </row>
    <row r="64" spans="56:72" x14ac:dyDescent="0.2">
      <c r="BD64" s="72" t="s">
        <v>47</v>
      </c>
      <c r="BE64" s="76">
        <f t="shared" si="48"/>
        <v>1147</v>
      </c>
      <c r="BF64" s="77">
        <f t="shared" si="48"/>
        <v>1274</v>
      </c>
      <c r="BG64" s="78">
        <f>BE64/BE65</f>
        <v>0.14059818582986025</v>
      </c>
      <c r="BH64" s="79">
        <f>BF64/BF65</f>
        <v>0.15217391304347827</v>
      </c>
      <c r="BI64" s="122"/>
      <c r="BJ64" s="72" t="s">
        <v>47</v>
      </c>
      <c r="BK64" s="76">
        <f t="shared" si="49"/>
        <v>1271</v>
      </c>
      <c r="BL64" s="77">
        <f t="shared" si="49"/>
        <v>1274</v>
      </c>
      <c r="BM64" s="78">
        <f>BK64/BK65</f>
        <v>0.15566442131047153</v>
      </c>
      <c r="BN64" s="79">
        <f>BL64/BL65</f>
        <v>0.15217391304347827</v>
      </c>
      <c r="BO64" s="122"/>
      <c r="BP64" s="72" t="s">
        <v>47</v>
      </c>
      <c r="BQ64" s="76">
        <f t="shared" si="50"/>
        <v>860</v>
      </c>
      <c r="BR64" s="77">
        <f t="shared" si="50"/>
        <v>868</v>
      </c>
      <c r="BS64" s="78">
        <f>BQ64/BQ65</f>
        <v>0.15159527586814736</v>
      </c>
      <c r="BT64" s="79">
        <f>BR64/BR65</f>
        <v>0.15214723926380369</v>
      </c>
    </row>
    <row r="65" spans="55:72" ht="13.5" thickBot="1" x14ac:dyDescent="0.25">
      <c r="BD65" s="80"/>
      <c r="BE65" s="81">
        <f>SUM(BE58:BE64)</f>
        <v>8158</v>
      </c>
      <c r="BF65" s="82">
        <f>SUM(BF58:BF64)</f>
        <v>8372</v>
      </c>
      <c r="BG65" s="83">
        <f>SUM(BG58:BG64)</f>
        <v>1</v>
      </c>
      <c r="BH65" s="84">
        <f>BF65/BF65</f>
        <v>1</v>
      </c>
      <c r="BI65" s="122"/>
      <c r="BJ65" s="80"/>
      <c r="BK65" s="81">
        <f>SUM(BK58:BK64)</f>
        <v>8165</v>
      </c>
      <c r="BL65" s="82">
        <f>SUM(BL58:BL64)</f>
        <v>8372</v>
      </c>
      <c r="BM65" s="83">
        <f>SUM(BM58:BM64)</f>
        <v>1</v>
      </c>
      <c r="BN65" s="84">
        <f>BL65/BL65</f>
        <v>1</v>
      </c>
      <c r="BO65" s="122"/>
      <c r="BP65" s="80"/>
      <c r="BQ65" s="81">
        <f>SUM(BQ58:BQ64)</f>
        <v>5673</v>
      </c>
      <c r="BR65" s="82">
        <f>SUM(BR58:BR64)</f>
        <v>5705</v>
      </c>
      <c r="BS65" s="83">
        <f>SUM(BS58:BS64)</f>
        <v>1</v>
      </c>
      <c r="BT65" s="84">
        <f>BR65/BR65</f>
        <v>1</v>
      </c>
    </row>
    <row r="67" spans="55:72" ht="13.5" thickBot="1" x14ac:dyDescent="0.25">
      <c r="BD67" s="121" t="s">
        <v>72</v>
      </c>
      <c r="BE67" s="121"/>
      <c r="BF67" s="121"/>
      <c r="BG67" s="121"/>
      <c r="BH67" s="121"/>
      <c r="BI67" s="3"/>
      <c r="BJ67" s="121" t="s">
        <v>73</v>
      </c>
      <c r="BK67" s="121"/>
      <c r="BL67" s="121"/>
      <c r="BM67" s="121"/>
      <c r="BN67" s="121"/>
      <c r="BO67" s="3"/>
      <c r="BP67" s="121" t="str">
        <f>BP6</f>
        <v>Q3 2024</v>
      </c>
      <c r="BQ67" s="121"/>
      <c r="BR67" s="121"/>
      <c r="BS67" s="121"/>
      <c r="BT67" s="121"/>
    </row>
    <row r="68" spans="55:72" x14ac:dyDescent="0.2">
      <c r="BD68" s="116" t="s">
        <v>68</v>
      </c>
      <c r="BE68" s="117"/>
      <c r="BF68" s="117"/>
      <c r="BG68" s="117"/>
      <c r="BH68" s="60"/>
      <c r="BI68" s="122" t="s">
        <v>79</v>
      </c>
      <c r="BJ68" s="116" t="s">
        <v>68</v>
      </c>
      <c r="BK68" s="117"/>
      <c r="BL68" s="117"/>
      <c r="BM68" s="117"/>
      <c r="BN68" s="60"/>
      <c r="BO68" s="122" t="s">
        <v>79</v>
      </c>
      <c r="BP68" s="116" t="s">
        <v>68</v>
      </c>
      <c r="BQ68" s="117"/>
      <c r="BR68" s="117"/>
      <c r="BS68" s="117"/>
      <c r="BT68" s="60"/>
    </row>
    <row r="69" spans="55:72" x14ac:dyDescent="0.2">
      <c r="BD69" s="72"/>
      <c r="BE69" s="73" t="s">
        <v>40</v>
      </c>
      <c r="BF69" s="74" t="s">
        <v>69</v>
      </c>
      <c r="BG69" s="73" t="s">
        <v>40</v>
      </c>
      <c r="BH69" s="75" t="s">
        <v>69</v>
      </c>
      <c r="BI69" s="122"/>
      <c r="BJ69" s="72"/>
      <c r="BK69" s="73" t="s">
        <v>40</v>
      </c>
      <c r="BL69" s="74" t="s">
        <v>69</v>
      </c>
      <c r="BM69" s="73" t="s">
        <v>40</v>
      </c>
      <c r="BN69" s="75" t="s">
        <v>69</v>
      </c>
      <c r="BO69" s="122"/>
      <c r="BP69" s="72"/>
      <c r="BQ69" s="73" t="s">
        <v>40</v>
      </c>
      <c r="BR69" s="74" t="s">
        <v>69</v>
      </c>
      <c r="BS69" s="73" t="s">
        <v>40</v>
      </c>
      <c r="BT69" s="75" t="s">
        <v>69</v>
      </c>
    </row>
    <row r="70" spans="55:72" x14ac:dyDescent="0.2">
      <c r="BD70" s="72" t="s">
        <v>53</v>
      </c>
      <c r="BE70" s="76"/>
      <c r="BF70" s="77"/>
      <c r="BG70" s="78">
        <f>BE70/BE77</f>
        <v>0</v>
      </c>
      <c r="BH70" s="79">
        <f>BF70/BF77</f>
        <v>0</v>
      </c>
      <c r="BI70" s="122"/>
      <c r="BJ70" s="72" t="s">
        <v>53</v>
      </c>
      <c r="BK70" s="76"/>
      <c r="BL70" s="77"/>
      <c r="BM70" s="78">
        <f>BK70/BK77</f>
        <v>0</v>
      </c>
      <c r="BN70" s="79">
        <f>BL70/BL77</f>
        <v>0</v>
      </c>
      <c r="BO70" s="122"/>
      <c r="BP70" s="72" t="s">
        <v>53</v>
      </c>
      <c r="BQ70" s="76"/>
      <c r="BR70" s="77"/>
      <c r="BS70" s="78">
        <f>BQ70/BQ77</f>
        <v>0</v>
      </c>
      <c r="BT70" s="79">
        <f>BR70/BR77</f>
        <v>0</v>
      </c>
    </row>
    <row r="71" spans="55:72" x14ac:dyDescent="0.2">
      <c r="BD71" s="72" t="s">
        <v>52</v>
      </c>
      <c r="BE71" s="76">
        <f t="shared" ref="BE71:BF76" si="51">AB43+AG43+AL43</f>
        <v>18</v>
      </c>
      <c r="BF71" s="77">
        <f t="shared" si="51"/>
        <v>0</v>
      </c>
      <c r="BG71" s="78">
        <f>BE71/BE77</f>
        <v>2.7439024390243901E-3</v>
      </c>
      <c r="BH71" s="79">
        <f>BF71/BF77</f>
        <v>0</v>
      </c>
      <c r="BI71" s="122"/>
      <c r="BJ71" s="72" t="s">
        <v>52</v>
      </c>
      <c r="BK71" s="76">
        <f t="shared" ref="BK71:BL76" si="52">M43+R43+W43</f>
        <v>12</v>
      </c>
      <c r="BL71" s="77">
        <f t="shared" si="52"/>
        <v>0</v>
      </c>
      <c r="BM71" s="78">
        <f>BK71/BK77</f>
        <v>1.832900565144341E-3</v>
      </c>
      <c r="BN71" s="79">
        <f>BL71/BL77</f>
        <v>0</v>
      </c>
      <c r="BO71" s="122"/>
      <c r="BP71" s="72" t="s">
        <v>52</v>
      </c>
      <c r="BQ71" s="76">
        <f t="shared" ref="BQ71:BR76" si="53">C43+H43</f>
        <v>0</v>
      </c>
      <c r="BR71" s="77">
        <f t="shared" si="53"/>
        <v>0</v>
      </c>
      <c r="BS71" s="78">
        <f>BQ71/BQ77</f>
        <v>0</v>
      </c>
      <c r="BT71" s="79">
        <f>BR71/BR77</f>
        <v>0</v>
      </c>
    </row>
    <row r="72" spans="55:72" x14ac:dyDescent="0.2">
      <c r="BD72" s="72" t="s">
        <v>51</v>
      </c>
      <c r="BE72" s="76">
        <f t="shared" si="51"/>
        <v>3106</v>
      </c>
      <c r="BF72" s="77">
        <f t="shared" si="51"/>
        <v>2548</v>
      </c>
      <c r="BG72" s="78">
        <f>BE72/BE77</f>
        <v>0.47347560975609754</v>
      </c>
      <c r="BH72" s="79">
        <f>BF72/BF77</f>
        <v>0.38786535531237021</v>
      </c>
      <c r="BI72" s="122"/>
      <c r="BJ72" s="72" t="s">
        <v>51</v>
      </c>
      <c r="BK72" s="76">
        <f t="shared" si="52"/>
        <v>2894</v>
      </c>
      <c r="BL72" s="77">
        <f t="shared" si="52"/>
        <v>2548</v>
      </c>
      <c r="BM72" s="78">
        <f>BK72/BK77</f>
        <v>0.44203451962731022</v>
      </c>
      <c r="BN72" s="79">
        <f>BL72/BL77</f>
        <v>0.38786535531237021</v>
      </c>
      <c r="BO72" s="122"/>
      <c r="BP72" s="72" t="s">
        <v>51</v>
      </c>
      <c r="BQ72" s="76">
        <f t="shared" si="53"/>
        <v>1884</v>
      </c>
      <c r="BR72" s="77">
        <f t="shared" si="53"/>
        <v>1736</v>
      </c>
      <c r="BS72" s="78">
        <f>BQ72/BQ77</f>
        <v>0.43732590529247911</v>
      </c>
      <c r="BT72" s="79">
        <f>BR72/BR77</f>
        <v>0.3999078553328726</v>
      </c>
    </row>
    <row r="73" spans="55:72" x14ac:dyDescent="0.2">
      <c r="BD73" s="72" t="s">
        <v>50</v>
      </c>
      <c r="BE73" s="76">
        <f t="shared" si="51"/>
        <v>41</v>
      </c>
      <c r="BF73" s="77">
        <f t="shared" si="51"/>
        <v>0</v>
      </c>
      <c r="BG73" s="78">
        <f>BE73/BE77</f>
        <v>6.2500000000000003E-3</v>
      </c>
      <c r="BH73" s="79">
        <f>BF73/BF77</f>
        <v>0</v>
      </c>
      <c r="BI73" s="122"/>
      <c r="BJ73" s="72" t="s">
        <v>50</v>
      </c>
      <c r="BK73" s="76">
        <f t="shared" si="52"/>
        <v>182</v>
      </c>
      <c r="BL73" s="77">
        <f t="shared" si="52"/>
        <v>0</v>
      </c>
      <c r="BM73" s="78">
        <f>BK73/BK77</f>
        <v>2.7798991904689169E-2</v>
      </c>
      <c r="BN73" s="79">
        <f>BL73/BL77</f>
        <v>0</v>
      </c>
      <c r="BO73" s="122"/>
      <c r="BP73" s="72" t="s">
        <v>50</v>
      </c>
      <c r="BQ73" s="76">
        <f t="shared" si="53"/>
        <v>124</v>
      </c>
      <c r="BR73" s="77">
        <f t="shared" si="53"/>
        <v>0</v>
      </c>
      <c r="BS73" s="78">
        <f>BQ73/BQ77</f>
        <v>2.8783658310120707E-2</v>
      </c>
      <c r="BT73" s="79">
        <f>BR73/BR77</f>
        <v>0</v>
      </c>
    </row>
    <row r="74" spans="55:72" x14ac:dyDescent="0.2">
      <c r="BD74" s="72" t="s">
        <v>49</v>
      </c>
      <c r="BE74" s="76">
        <f t="shared" si="51"/>
        <v>39</v>
      </c>
      <c r="BF74" s="77">
        <f t="shared" si="51"/>
        <v>180.18</v>
      </c>
      <c r="BG74" s="78">
        <f>BE74/BE77</f>
        <v>5.9451219512195123E-3</v>
      </c>
      <c r="BH74" s="79">
        <f>BF74/BF77</f>
        <v>2.7427621554231892E-2</v>
      </c>
      <c r="BI74" s="122"/>
      <c r="BJ74" s="72" t="s">
        <v>49</v>
      </c>
      <c r="BK74" s="76">
        <f t="shared" si="52"/>
        <v>73</v>
      </c>
      <c r="BL74" s="77">
        <f t="shared" si="52"/>
        <v>180.18</v>
      </c>
      <c r="BM74" s="78">
        <f>BK74/BK77</f>
        <v>1.1150145104628074E-2</v>
      </c>
      <c r="BN74" s="79">
        <f>BL74/BL77</f>
        <v>2.7427621554231892E-2</v>
      </c>
      <c r="BO74" s="122"/>
      <c r="BP74" s="72" t="s">
        <v>49</v>
      </c>
      <c r="BQ74" s="76">
        <f t="shared" si="53"/>
        <v>30</v>
      </c>
      <c r="BR74" s="77">
        <f t="shared" si="53"/>
        <v>124</v>
      </c>
      <c r="BS74" s="78">
        <f>BQ74/BQ77</f>
        <v>6.9637883008356544E-3</v>
      </c>
      <c r="BT74" s="79">
        <f>BR74/BR77</f>
        <v>2.8564846809490899E-2</v>
      </c>
    </row>
    <row r="75" spans="55:72" x14ac:dyDescent="0.2">
      <c r="BD75" s="72" t="s">
        <v>48</v>
      </c>
      <c r="BE75" s="76">
        <f t="shared" si="51"/>
        <v>100</v>
      </c>
      <c r="BF75" s="77">
        <f t="shared" si="51"/>
        <v>222.95</v>
      </c>
      <c r="BG75" s="78">
        <f>BE75/BE77</f>
        <v>1.524390243902439E-2</v>
      </c>
      <c r="BH75" s="79">
        <f>BF75/BF77</f>
        <v>3.393821858983239E-2</v>
      </c>
      <c r="BI75" s="122"/>
      <c r="BJ75" s="72" t="s">
        <v>48</v>
      </c>
      <c r="BK75" s="76">
        <f t="shared" si="52"/>
        <v>40</v>
      </c>
      <c r="BL75" s="77">
        <f t="shared" si="52"/>
        <v>222.95</v>
      </c>
      <c r="BM75" s="78">
        <f>BK75/BK77</f>
        <v>6.1096685504811368E-3</v>
      </c>
      <c r="BN75" s="79">
        <f>BL75/BL77</f>
        <v>3.393821858983239E-2</v>
      </c>
      <c r="BO75" s="122"/>
      <c r="BP75" s="72" t="s">
        <v>48</v>
      </c>
      <c r="BQ75" s="76">
        <f t="shared" si="53"/>
        <v>65</v>
      </c>
      <c r="BR75" s="77">
        <f t="shared" si="53"/>
        <v>156</v>
      </c>
      <c r="BS75" s="78">
        <f>BQ75/BQ77</f>
        <v>1.5088207985143919E-2</v>
      </c>
      <c r="BT75" s="79">
        <f>BR75/BR77</f>
        <v>3.5936420179682099E-2</v>
      </c>
    </row>
    <row r="76" spans="55:72" x14ac:dyDescent="0.2">
      <c r="BD76" s="72" t="s">
        <v>47</v>
      </c>
      <c r="BE76" s="76">
        <f t="shared" si="51"/>
        <v>3256</v>
      </c>
      <c r="BF76" s="77">
        <f t="shared" si="51"/>
        <v>3618.16</v>
      </c>
      <c r="BG76" s="78">
        <f>BE76/BE77</f>
        <v>0.49634146341463414</v>
      </c>
      <c r="BH76" s="79">
        <f>BF76/BF77</f>
        <v>0.55076880454356569</v>
      </c>
      <c r="BI76" s="122"/>
      <c r="BJ76" s="72" t="s">
        <v>47</v>
      </c>
      <c r="BK76" s="76">
        <f t="shared" si="52"/>
        <v>3346</v>
      </c>
      <c r="BL76" s="77">
        <f t="shared" si="52"/>
        <v>3618.16</v>
      </c>
      <c r="BM76" s="78">
        <f>BK76/BK77</f>
        <v>0.51107377424774703</v>
      </c>
      <c r="BN76" s="79">
        <f>BL76/BL77</f>
        <v>0.55076880454356569</v>
      </c>
      <c r="BO76" s="122"/>
      <c r="BP76" s="72" t="s">
        <v>47</v>
      </c>
      <c r="BQ76" s="76">
        <f t="shared" si="53"/>
        <v>2205</v>
      </c>
      <c r="BR76" s="77">
        <f t="shared" si="53"/>
        <v>2325</v>
      </c>
      <c r="BS76" s="78">
        <f>BQ76/BQ77</f>
        <v>0.51183844011142066</v>
      </c>
      <c r="BT76" s="79">
        <f>BR76/BR77</f>
        <v>0.53559087767795444</v>
      </c>
    </row>
    <row r="77" spans="55:72" ht="13.5" thickBot="1" x14ac:dyDescent="0.25">
      <c r="BD77" s="80"/>
      <c r="BE77" s="81">
        <f>SUM(BE70:BE76)</f>
        <v>6560</v>
      </c>
      <c r="BF77" s="82">
        <f>SUM(BF70:BF76)</f>
        <v>6569.2899999999991</v>
      </c>
      <c r="BG77" s="83">
        <f>SUM(BG70:BG76)</f>
        <v>0.99999999999999989</v>
      </c>
      <c r="BH77" s="84">
        <f>BF77/BF77</f>
        <v>1</v>
      </c>
      <c r="BI77" s="122"/>
      <c r="BJ77" s="80"/>
      <c r="BK77" s="81">
        <f>SUM(BK70:BK76)</f>
        <v>6547</v>
      </c>
      <c r="BL77" s="82">
        <f>SUM(BL70:BL76)</f>
        <v>6569.2899999999991</v>
      </c>
      <c r="BM77" s="83">
        <f>SUM(BM70:BM76)</f>
        <v>1</v>
      </c>
      <c r="BN77" s="84">
        <f>BL77/BL77</f>
        <v>1</v>
      </c>
      <c r="BO77" s="122"/>
      <c r="BP77" s="80"/>
      <c r="BQ77" s="81">
        <f>SUM(BQ70:BQ76)</f>
        <v>4308</v>
      </c>
      <c r="BR77" s="82">
        <f>SUM(BR70:BR76)</f>
        <v>4341</v>
      </c>
      <c r="BS77" s="83">
        <f>SUM(BS70:BS76)</f>
        <v>1</v>
      </c>
      <c r="BT77" s="84">
        <f>BR77/BR77</f>
        <v>1</v>
      </c>
    </row>
    <row r="78" spans="55:72" ht="13.5" thickBot="1" x14ac:dyDescent="0.25"/>
    <row r="79" spans="55:72" x14ac:dyDescent="0.2">
      <c r="BC79" s="87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</row>
    <row r="80" spans="55:72" ht="13.5" thickBot="1" x14ac:dyDescent="0.25">
      <c r="BC80" s="72"/>
      <c r="BD80" s="121" t="s">
        <v>72</v>
      </c>
      <c r="BE80" s="121"/>
      <c r="BF80" s="121"/>
      <c r="BG80" s="121"/>
      <c r="BH80" s="121"/>
      <c r="BI80" s="3"/>
      <c r="BJ80" s="121" t="s">
        <v>73</v>
      </c>
      <c r="BK80" s="121"/>
      <c r="BL80" s="121"/>
      <c r="BM80" s="121"/>
      <c r="BN80" s="121"/>
      <c r="BO80" s="3"/>
      <c r="BP80" s="121" t="str">
        <f>BP6</f>
        <v>Q3 2024</v>
      </c>
      <c r="BQ80" s="121"/>
      <c r="BR80" s="121"/>
      <c r="BS80" s="121"/>
      <c r="BT80" s="121"/>
    </row>
    <row r="81" spans="55:72" x14ac:dyDescent="0.2">
      <c r="BC81" s="72"/>
      <c r="BD81" s="116" t="s">
        <v>68</v>
      </c>
      <c r="BE81" s="117"/>
      <c r="BF81" s="117"/>
      <c r="BG81" s="117"/>
      <c r="BH81" s="60"/>
      <c r="BI81" s="122" t="s">
        <v>36</v>
      </c>
      <c r="BJ81" s="116" t="s">
        <v>68</v>
      </c>
      <c r="BK81" s="117"/>
      <c r="BL81" s="117"/>
      <c r="BM81" s="117"/>
      <c r="BN81" s="60"/>
      <c r="BO81" s="122" t="s">
        <v>36</v>
      </c>
      <c r="BP81" s="116" t="s">
        <v>68</v>
      </c>
      <c r="BQ81" s="117"/>
      <c r="BR81" s="117"/>
      <c r="BS81" s="117"/>
      <c r="BT81" s="60"/>
    </row>
    <row r="82" spans="55:72" x14ac:dyDescent="0.2">
      <c r="BC82" s="72"/>
      <c r="BD82" s="72"/>
      <c r="BE82" s="73" t="s">
        <v>40</v>
      </c>
      <c r="BF82" s="74" t="s">
        <v>69</v>
      </c>
      <c r="BG82" s="73" t="s">
        <v>40</v>
      </c>
      <c r="BH82" s="75" t="s">
        <v>69</v>
      </c>
      <c r="BI82" s="122"/>
      <c r="BJ82" s="72"/>
      <c r="BK82" s="73" t="s">
        <v>40</v>
      </c>
      <c r="BL82" s="74" t="s">
        <v>69</v>
      </c>
      <c r="BM82" s="73" t="s">
        <v>40</v>
      </c>
      <c r="BN82" s="75" t="s">
        <v>69</v>
      </c>
      <c r="BO82" s="122"/>
      <c r="BP82" s="72"/>
      <c r="BQ82" s="73" t="s">
        <v>40</v>
      </c>
      <c r="BR82" s="74" t="s">
        <v>69</v>
      </c>
      <c r="BS82" s="73" t="s">
        <v>40</v>
      </c>
      <c r="BT82" s="75" t="s">
        <v>69</v>
      </c>
    </row>
    <row r="83" spans="55:72" x14ac:dyDescent="0.2">
      <c r="BC83" s="72"/>
      <c r="BD83" s="72" t="s">
        <v>53</v>
      </c>
      <c r="BE83" s="76">
        <f t="shared" ref="BE83:BF89" si="54">BE9+BE22+BE34+BE46+BE58+BE70</f>
        <v>393</v>
      </c>
      <c r="BF83" s="77">
        <f t="shared" si="54"/>
        <v>250.25</v>
      </c>
      <c r="BG83" s="78">
        <f>BE83/BE90</f>
        <v>8.5884743984789881E-3</v>
      </c>
      <c r="BH83" s="79">
        <f>BF83/BF90</f>
        <v>5.4108295293562097E-3</v>
      </c>
      <c r="BI83" s="122"/>
      <c r="BJ83" s="72" t="s">
        <v>53</v>
      </c>
      <c r="BK83" s="76">
        <f>BK9+BK22+BK34+BK46+BK58+BK70</f>
        <v>216</v>
      </c>
      <c r="BL83" s="77">
        <f>BL9+BL22+BL34+BL46+BL58+BL70</f>
        <v>250.25</v>
      </c>
      <c r="BM83" s="78">
        <f>BK83/BK90</f>
        <v>4.7366343581421869E-3</v>
      </c>
      <c r="BN83" s="79">
        <f>BL83/BL90</f>
        <v>5.4108295293562097E-3</v>
      </c>
      <c r="BO83" s="122"/>
      <c r="BP83" s="72" t="s">
        <v>53</v>
      </c>
      <c r="BQ83" s="76">
        <f>BQ9+BQ22+BQ34+BQ46+BQ58+BQ70</f>
        <v>125</v>
      </c>
      <c r="BR83" s="77">
        <f>BR9+BR22+BR34+BR46+BR58+BR70</f>
        <v>170</v>
      </c>
      <c r="BS83" s="78">
        <f>BQ83/BQ90</f>
        <v>3.9992321474276935E-3</v>
      </c>
      <c r="BT83" s="79">
        <f>BR83/BR90</f>
        <v>5.4178086557460639E-3</v>
      </c>
    </row>
    <row r="84" spans="55:72" x14ac:dyDescent="0.2">
      <c r="BC84" s="72"/>
      <c r="BD84" s="72" t="s">
        <v>52</v>
      </c>
      <c r="BE84" s="76">
        <f t="shared" si="54"/>
        <v>518</v>
      </c>
      <c r="BF84" s="77">
        <f t="shared" si="54"/>
        <v>504.14</v>
      </c>
      <c r="BG84" s="78">
        <f>BE84/BE90</f>
        <v>1.1320177451430319E-2</v>
      </c>
      <c r="BH84" s="79">
        <f>BF84/BF90</f>
        <v>1.0900362033684875E-2</v>
      </c>
      <c r="BI84" s="122"/>
      <c r="BJ84" s="72" t="s">
        <v>52</v>
      </c>
      <c r="BK84" s="76">
        <f t="shared" ref="BK84:BL84" si="55">BK10+BK23+BK35+BK47+BK59+BK71</f>
        <v>591</v>
      </c>
      <c r="BL84" s="77">
        <f t="shared" si="55"/>
        <v>504.14</v>
      </c>
      <c r="BM84" s="78">
        <f>BK84/BK90</f>
        <v>1.2959957896583484E-2</v>
      </c>
      <c r="BN84" s="79">
        <f>BL84/BL90</f>
        <v>1.0900362033684875E-2</v>
      </c>
      <c r="BO84" s="122"/>
      <c r="BP84" s="72" t="s">
        <v>52</v>
      </c>
      <c r="BQ84" s="76">
        <f t="shared" ref="BQ84:BR84" si="56">BQ10+BQ23+BQ35+BQ47+BQ59+BQ71</f>
        <v>246</v>
      </c>
      <c r="BR84" s="77">
        <f t="shared" si="56"/>
        <v>344</v>
      </c>
      <c r="BS84" s="78">
        <f>BQ84/BQ90</f>
        <v>7.8704888661377016E-3</v>
      </c>
      <c r="BT84" s="79">
        <f>BR84/BR90</f>
        <v>1.0963095162215565E-2</v>
      </c>
    </row>
    <row r="85" spans="55:72" x14ac:dyDescent="0.2">
      <c r="BC85" s="72"/>
      <c r="BD85" s="72" t="s">
        <v>51</v>
      </c>
      <c r="BE85" s="76">
        <f t="shared" si="54"/>
        <v>19622</v>
      </c>
      <c r="BF85" s="77">
        <f t="shared" si="54"/>
        <v>21735.35</v>
      </c>
      <c r="BG85" s="78">
        <f>BE85/BE90</f>
        <v>0.42881181844008831</v>
      </c>
      <c r="BH85" s="79">
        <f>BF85/BF90</f>
        <v>0.46995513930426569</v>
      </c>
      <c r="BI85" s="122"/>
      <c r="BJ85" s="72" t="s">
        <v>51</v>
      </c>
      <c r="BK85" s="76">
        <f t="shared" ref="BK85:BL85" si="57">BK11+BK24+BK36+BK48+BK60+BK72</f>
        <v>19914</v>
      </c>
      <c r="BL85" s="77">
        <f t="shared" si="57"/>
        <v>21762.34</v>
      </c>
      <c r="BM85" s="78">
        <f>BK85/BK90</f>
        <v>0.43669137318538659</v>
      </c>
      <c r="BN85" s="79">
        <f>BL85/BL90</f>
        <v>0.47053870889066862</v>
      </c>
      <c r="BO85" s="122"/>
      <c r="BP85" s="72" t="s">
        <v>51</v>
      </c>
      <c r="BQ85" s="76">
        <f t="shared" ref="BQ85:BR85" si="58">BQ11+BQ24+BQ36+BQ48+BQ60+BQ72</f>
        <v>13777</v>
      </c>
      <c r="BR85" s="77">
        <f t="shared" si="58"/>
        <v>14825</v>
      </c>
      <c r="BS85" s="78">
        <f>BQ85/BQ90</f>
        <v>0.44077937036089071</v>
      </c>
      <c r="BT85" s="79">
        <f>BR85/BR90</f>
        <v>0.47246478424373767</v>
      </c>
    </row>
    <row r="86" spans="55:72" x14ac:dyDescent="0.2">
      <c r="BC86" s="72"/>
      <c r="BD86" s="72" t="s">
        <v>50</v>
      </c>
      <c r="BE86" s="76">
        <f t="shared" si="54"/>
        <v>332</v>
      </c>
      <c r="BF86" s="77">
        <f t="shared" si="54"/>
        <v>0</v>
      </c>
      <c r="BG86" s="78">
        <f>BE86/BE90</f>
        <v>7.2554033086387375E-3</v>
      </c>
      <c r="BH86" s="79">
        <f>BF86/BF90</f>
        <v>0</v>
      </c>
      <c r="BI86" s="122"/>
      <c r="BJ86" s="72" t="s">
        <v>50</v>
      </c>
      <c r="BK86" s="76">
        <f t="shared" ref="BK86:BL86" si="59">BK12+BK25+BK37+BK49+BK61+BK73</f>
        <v>619</v>
      </c>
      <c r="BL86" s="77">
        <f t="shared" si="59"/>
        <v>0</v>
      </c>
      <c r="BM86" s="78">
        <f>BK86/BK90</f>
        <v>1.3573966054120434E-2</v>
      </c>
      <c r="BN86" s="79">
        <f>BL86/BL90</f>
        <v>0</v>
      </c>
      <c r="BO86" s="122"/>
      <c r="BP86" s="72" t="s">
        <v>50</v>
      </c>
      <c r="BQ86" s="76">
        <f t="shared" ref="BQ86:BR86" si="60">BQ12+BQ25+BQ37+BQ49+BQ61+BQ73</f>
        <v>1007</v>
      </c>
      <c r="BR86" s="77">
        <f t="shared" si="60"/>
        <v>0</v>
      </c>
      <c r="BS86" s="78">
        <f>BQ86/BQ90</f>
        <v>3.2217814179677499E-2</v>
      </c>
      <c r="BT86" s="79">
        <f>BR86/BR90</f>
        <v>0</v>
      </c>
    </row>
    <row r="87" spans="55:72" x14ac:dyDescent="0.2">
      <c r="BC87" s="72"/>
      <c r="BD87" s="72" t="s">
        <v>49</v>
      </c>
      <c r="BE87" s="76">
        <f t="shared" si="54"/>
        <v>2727</v>
      </c>
      <c r="BF87" s="77">
        <f t="shared" si="54"/>
        <v>2265.9</v>
      </c>
      <c r="BG87" s="78">
        <f>BE87/BE90</f>
        <v>5.959483380318626E-2</v>
      </c>
      <c r="BH87" s="79">
        <f>BF87/BF90</f>
        <v>4.8992601920352596E-2</v>
      </c>
      <c r="BI87" s="122"/>
      <c r="BJ87" s="72" t="s">
        <v>49</v>
      </c>
      <c r="BK87" s="76">
        <f t="shared" ref="BK87:BL87" si="61">BK13+BK26+BK38+BK50+BK62+BK74</f>
        <v>2713</v>
      </c>
      <c r="BL87" s="77">
        <f t="shared" si="61"/>
        <v>2241.6</v>
      </c>
      <c r="BM87" s="78">
        <f>BK87/BK90</f>
        <v>5.949300469277663E-2</v>
      </c>
      <c r="BN87" s="79">
        <f>BL87/BL90</f>
        <v>4.8467194697322198E-2</v>
      </c>
      <c r="BO87" s="122"/>
      <c r="BP87" s="72" t="s">
        <v>49</v>
      </c>
      <c r="BQ87" s="76">
        <f t="shared" ref="BQ87:BR87" si="62">BQ13+BQ26+BQ38+BQ50+BQ62+BQ74</f>
        <v>1501</v>
      </c>
      <c r="BR87" s="77">
        <f t="shared" si="62"/>
        <v>1526</v>
      </c>
      <c r="BS87" s="78">
        <f>BQ87/BQ90</f>
        <v>4.8022779626311747E-2</v>
      </c>
      <c r="BT87" s="79">
        <f>BR87/BR90</f>
        <v>4.8632800050991139E-2</v>
      </c>
    </row>
    <row r="88" spans="55:72" x14ac:dyDescent="0.2">
      <c r="BC88" s="72"/>
      <c r="BD88" s="72" t="s">
        <v>48</v>
      </c>
      <c r="BE88" s="76">
        <f t="shared" si="54"/>
        <v>6764</v>
      </c>
      <c r="BF88" s="77">
        <f t="shared" si="54"/>
        <v>5441.7099999999982</v>
      </c>
      <c r="BG88" s="78">
        <f>BE88/BE90</f>
        <v>0.14781791560130247</v>
      </c>
      <c r="BH88" s="79">
        <f>BF88/BF90</f>
        <v>0.11765900163114075</v>
      </c>
      <c r="BI88" s="122"/>
      <c r="BJ88" s="72" t="s">
        <v>48</v>
      </c>
      <c r="BK88" s="76">
        <f t="shared" ref="BK88:BL88" si="63">BK14+BK27+BK39+BK51+BK63+BK75</f>
        <v>6265</v>
      </c>
      <c r="BL88" s="77">
        <f t="shared" si="63"/>
        <v>5334.5899999999992</v>
      </c>
      <c r="BM88" s="78">
        <f>BK88/BK90</f>
        <v>0.1373843252488926</v>
      </c>
      <c r="BN88" s="79">
        <f>BL88/BL90</f>
        <v>0.11534288551052284</v>
      </c>
      <c r="BO88" s="122"/>
      <c r="BP88" s="72" t="s">
        <v>48</v>
      </c>
      <c r="BQ88" s="76">
        <f t="shared" ref="BQ88:BR88" si="64">BQ14+BQ27+BQ39+BQ51+BQ63+BQ75</f>
        <v>4150</v>
      </c>
      <c r="BR88" s="77">
        <f t="shared" si="64"/>
        <v>3632</v>
      </c>
      <c r="BS88" s="78">
        <f>BQ88/BQ90</f>
        <v>0.13277450729459944</v>
      </c>
      <c r="BT88" s="79">
        <f>BR88/BR90</f>
        <v>0.11574988845688061</v>
      </c>
    </row>
    <row r="89" spans="55:72" x14ac:dyDescent="0.2">
      <c r="BC89" s="72"/>
      <c r="BD89" s="72" t="s">
        <v>47</v>
      </c>
      <c r="BE89" s="76">
        <f t="shared" si="54"/>
        <v>15403</v>
      </c>
      <c r="BF89" s="77">
        <f t="shared" si="54"/>
        <v>16052.49</v>
      </c>
      <c r="BG89" s="78">
        <f>BE89/BE90</f>
        <v>0.33661137699687493</v>
      </c>
      <c r="BH89" s="79">
        <f>BF89/BF90</f>
        <v>0.34708206558119986</v>
      </c>
      <c r="BI89" s="122"/>
      <c r="BJ89" s="72" t="s">
        <v>47</v>
      </c>
      <c r="BK89" s="76">
        <f t="shared" ref="BK89:BL89" si="65">BK15+BK28+BK40+BK52+BK64+BK76</f>
        <v>15284</v>
      </c>
      <c r="BL89" s="77">
        <f t="shared" si="65"/>
        <v>16156.92</v>
      </c>
      <c r="BM89" s="78">
        <f>BK89/BK90</f>
        <v>0.33516073856409806</v>
      </c>
      <c r="BN89" s="79">
        <f>BL89/BL90</f>
        <v>0.34934001933844533</v>
      </c>
      <c r="BO89" s="122"/>
      <c r="BP89" s="72" t="s">
        <v>47</v>
      </c>
      <c r="BQ89" s="76">
        <f t="shared" ref="BQ89:BR89" si="66">BQ15+BQ28+BQ40+BQ52+BQ64+BQ76</f>
        <v>10450</v>
      </c>
      <c r="BR89" s="77">
        <f t="shared" si="66"/>
        <v>10881</v>
      </c>
      <c r="BS89" s="78">
        <f>BQ89/BQ90</f>
        <v>0.33433580752495523</v>
      </c>
      <c r="BT89" s="79">
        <f>BR89/BR90</f>
        <v>0.34677162343042894</v>
      </c>
    </row>
    <row r="90" spans="55:72" ht="13.5" thickBot="1" x14ac:dyDescent="0.25">
      <c r="BC90" s="72"/>
      <c r="BD90" s="80"/>
      <c r="BE90" s="81">
        <f>SUM(BE83:BE89)</f>
        <v>45759</v>
      </c>
      <c r="BF90" s="82">
        <f>SUM(BF83:BF89)</f>
        <v>46249.84</v>
      </c>
      <c r="BG90" s="83">
        <f>SUM(BG83:BG89)</f>
        <v>1</v>
      </c>
      <c r="BH90" s="84">
        <f>BF90/BF90</f>
        <v>1</v>
      </c>
      <c r="BI90" s="122"/>
      <c r="BJ90" s="80"/>
      <c r="BK90" s="81">
        <f>SUM(BK83:BK89)</f>
        <v>45602</v>
      </c>
      <c r="BL90" s="82">
        <f>SUM(BL83:BL89)</f>
        <v>46249.84</v>
      </c>
      <c r="BM90" s="83">
        <f>SUM(BM83:BM89)</f>
        <v>1</v>
      </c>
      <c r="BN90" s="84">
        <f>BL90/BL90</f>
        <v>1</v>
      </c>
      <c r="BO90" s="122"/>
      <c r="BP90" s="80"/>
      <c r="BQ90" s="81">
        <f>SUM(BQ83:BQ89)</f>
        <v>31256</v>
      </c>
      <c r="BR90" s="82">
        <f>SUM(BR83:BR89)</f>
        <v>31378</v>
      </c>
      <c r="BS90" s="83">
        <f>SUM(BS83:BS89)</f>
        <v>1</v>
      </c>
      <c r="BT90" s="84">
        <f>BR90/BR90</f>
        <v>1</v>
      </c>
    </row>
    <row r="91" spans="55:72" ht="13.5" thickBot="1" x14ac:dyDescent="0.25">
      <c r="BC91" s="80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</row>
    <row r="93" spans="55:72" x14ac:dyDescent="0.2">
      <c r="BE93" s="1"/>
      <c r="BF93" s="1"/>
      <c r="BK93" s="1">
        <f>M6+R6+W6</f>
        <v>45602</v>
      </c>
      <c r="BL93" s="1">
        <f>N6+S6+X6</f>
        <v>46249.840000000011</v>
      </c>
      <c r="BQ93" s="1">
        <f>H6</f>
        <v>15607</v>
      </c>
    </row>
    <row r="95" spans="55:72" ht="13.5" thickBot="1" x14ac:dyDescent="0.25">
      <c r="BJ95" s="121" t="s">
        <v>39</v>
      </c>
      <c r="BK95" s="121"/>
      <c r="BL95" s="121"/>
      <c r="BM95" s="121"/>
      <c r="BN95" s="121"/>
    </row>
    <row r="96" spans="55:72" x14ac:dyDescent="0.2">
      <c r="BJ96" s="116" t="s">
        <v>68</v>
      </c>
      <c r="BK96" s="117"/>
      <c r="BL96" s="117"/>
      <c r="BM96" s="117"/>
      <c r="BN96" s="60"/>
    </row>
    <row r="97" spans="62:66" x14ac:dyDescent="0.2">
      <c r="BJ97" s="72"/>
      <c r="BK97" s="73" t="s">
        <v>40</v>
      </c>
      <c r="BL97" s="74" t="s">
        <v>69</v>
      </c>
      <c r="BM97" s="73" t="s">
        <v>40</v>
      </c>
      <c r="BN97" s="75" t="s">
        <v>69</v>
      </c>
    </row>
    <row r="98" spans="62:66" x14ac:dyDescent="0.2">
      <c r="BJ98" s="72" t="s">
        <v>53</v>
      </c>
      <c r="BK98" s="76">
        <f t="shared" ref="BK98:BL104" si="67">BE83+BK83+BQ83</f>
        <v>734</v>
      </c>
      <c r="BL98" s="77">
        <f t="shared" si="67"/>
        <v>670.5</v>
      </c>
      <c r="BM98" s="78">
        <f>BK98/BK105</f>
        <v>5.9861193798576053E-3</v>
      </c>
      <c r="BN98" s="79">
        <f>BL98/BL105</f>
        <v>5.4125973298821866E-3</v>
      </c>
    </row>
    <row r="99" spans="62:66" x14ac:dyDescent="0.2">
      <c r="BJ99" s="72" t="s">
        <v>52</v>
      </c>
      <c r="BK99" s="76">
        <f t="shared" si="67"/>
        <v>1355</v>
      </c>
      <c r="BL99" s="77">
        <f t="shared" si="67"/>
        <v>1352.28</v>
      </c>
      <c r="BM99" s="78">
        <f>BK99/BK105</f>
        <v>1.1050669972352937E-2</v>
      </c>
      <c r="BN99" s="79">
        <f>BL99/BL105</f>
        <v>1.0916252225582526E-2</v>
      </c>
    </row>
    <row r="100" spans="62:66" x14ac:dyDescent="0.2">
      <c r="BJ100" s="72" t="s">
        <v>51</v>
      </c>
      <c r="BK100" s="76">
        <f t="shared" si="67"/>
        <v>53313</v>
      </c>
      <c r="BL100" s="77">
        <f t="shared" si="67"/>
        <v>58322.69</v>
      </c>
      <c r="BM100" s="78">
        <f>BK100/BK105</f>
        <v>0.43479289168712332</v>
      </c>
      <c r="BN100" s="79">
        <f>BL100/BL105</f>
        <v>0.47080870419917453</v>
      </c>
    </row>
    <row r="101" spans="62:66" x14ac:dyDescent="0.2">
      <c r="BJ101" s="72" t="s">
        <v>50</v>
      </c>
      <c r="BK101" s="76">
        <f t="shared" si="67"/>
        <v>1958</v>
      </c>
      <c r="BL101" s="77">
        <f t="shared" si="67"/>
        <v>0</v>
      </c>
      <c r="BM101" s="78">
        <f>BK101/BK105</f>
        <v>1.5968421996949853E-2</v>
      </c>
      <c r="BN101" s="79">
        <f>BL101/BL105</f>
        <v>0</v>
      </c>
    </row>
    <row r="102" spans="62:66" x14ac:dyDescent="0.2">
      <c r="BJ102" s="72" t="s">
        <v>49</v>
      </c>
      <c r="BK102" s="76">
        <f t="shared" si="67"/>
        <v>6941</v>
      </c>
      <c r="BL102" s="77">
        <f t="shared" si="67"/>
        <v>6033.5</v>
      </c>
      <c r="BM102" s="78">
        <f>BK102/BK105</f>
        <v>5.6607158876827844E-2</v>
      </c>
      <c r="BN102" s="79">
        <f>BL102/BL105</f>
        <v>4.870530348970048E-2</v>
      </c>
    </row>
    <row r="103" spans="62:66" x14ac:dyDescent="0.2">
      <c r="BJ103" s="72" t="s">
        <v>48</v>
      </c>
      <c r="BK103" s="76">
        <f t="shared" si="67"/>
        <v>17179</v>
      </c>
      <c r="BL103" s="77">
        <f t="shared" si="67"/>
        <v>14408.299999999997</v>
      </c>
      <c r="BM103" s="78">
        <f>BK103/BK105</f>
        <v>0.14010292210704878</v>
      </c>
      <c r="BN103" s="79">
        <f>BL103/BL105</f>
        <v>0.11631070262213497</v>
      </c>
    </row>
    <row r="104" spans="62:66" x14ac:dyDescent="0.2">
      <c r="BJ104" s="72" t="s">
        <v>47</v>
      </c>
      <c r="BK104" s="76">
        <f t="shared" si="67"/>
        <v>41137</v>
      </c>
      <c r="BL104" s="77">
        <f t="shared" si="67"/>
        <v>43090.41</v>
      </c>
      <c r="BM104" s="78">
        <f>BK104/BK105</f>
        <v>0.33549181597983968</v>
      </c>
      <c r="BN104" s="79">
        <f>BL104/BL105</f>
        <v>0.34784644013352528</v>
      </c>
    </row>
    <row r="105" spans="62:66" ht="13.5" thickBot="1" x14ac:dyDescent="0.25">
      <c r="BJ105" s="80"/>
      <c r="BK105" s="81">
        <f>SUM(BK98:BK104)</f>
        <v>122617</v>
      </c>
      <c r="BL105" s="82">
        <f>SUM(BL98:BL104)</f>
        <v>123877.68000000001</v>
      </c>
      <c r="BM105" s="83">
        <f>SUM(BM98:BM104)</f>
        <v>1</v>
      </c>
      <c r="BN105" s="84">
        <f>BL105/BL105</f>
        <v>1</v>
      </c>
    </row>
  </sheetData>
  <mergeCells count="86">
    <mergeCell ref="BJ6:BN6"/>
    <mergeCell ref="BJ7:BM7"/>
    <mergeCell ref="A35:A41"/>
    <mergeCell ref="AX7:BA7"/>
    <mergeCell ref="BD19:BH19"/>
    <mergeCell ref="BJ19:BN19"/>
    <mergeCell ref="BD20:BG20"/>
    <mergeCell ref="BI20:BI29"/>
    <mergeCell ref="BJ20:BM20"/>
    <mergeCell ref="BD31:BH31"/>
    <mergeCell ref="BJ31:BN31"/>
    <mergeCell ref="BD32:BG32"/>
    <mergeCell ref="BI32:BI41"/>
    <mergeCell ref="BJ32:BM32"/>
    <mergeCell ref="A42:A48"/>
    <mergeCell ref="AL4:AP4"/>
    <mergeCell ref="A7:A14"/>
    <mergeCell ref="A15:A21"/>
    <mergeCell ref="A22:A27"/>
    <mergeCell ref="A28:A34"/>
    <mergeCell ref="M4:Q4"/>
    <mergeCell ref="R4:V4"/>
    <mergeCell ref="W4:AA4"/>
    <mergeCell ref="M1:AP1"/>
    <mergeCell ref="M2:AA2"/>
    <mergeCell ref="AB2:AP2"/>
    <mergeCell ref="M3:Q3"/>
    <mergeCell ref="R3:V3"/>
    <mergeCell ref="W3:AA3"/>
    <mergeCell ref="AB3:AF3"/>
    <mergeCell ref="AG3:AK3"/>
    <mergeCell ref="AL3:AP3"/>
    <mergeCell ref="AQ3:AU4"/>
    <mergeCell ref="AB4:AF4"/>
    <mergeCell ref="AG4:AK4"/>
    <mergeCell ref="AX6:BB6"/>
    <mergeCell ref="BI7:BI16"/>
    <mergeCell ref="BD6:BH6"/>
    <mergeCell ref="BD7:BG7"/>
    <mergeCell ref="BD43:BH43"/>
    <mergeCell ref="BJ43:BN43"/>
    <mergeCell ref="BD44:BG44"/>
    <mergeCell ref="BI44:BI53"/>
    <mergeCell ref="BJ44:BM44"/>
    <mergeCell ref="BD55:BH55"/>
    <mergeCell ref="BJ55:BN55"/>
    <mergeCell ref="BD56:BG56"/>
    <mergeCell ref="BI56:BI65"/>
    <mergeCell ref="BJ56:BM56"/>
    <mergeCell ref="BD67:BH67"/>
    <mergeCell ref="BJ67:BN67"/>
    <mergeCell ref="BD68:BG68"/>
    <mergeCell ref="BI68:BI77"/>
    <mergeCell ref="BJ68:BM68"/>
    <mergeCell ref="BJ95:BN95"/>
    <mergeCell ref="BJ96:BM96"/>
    <mergeCell ref="BD80:BH80"/>
    <mergeCell ref="BJ80:BN80"/>
    <mergeCell ref="BD81:BG81"/>
    <mergeCell ref="BI81:BI90"/>
    <mergeCell ref="BJ81:BM81"/>
    <mergeCell ref="BP43:BT43"/>
    <mergeCell ref="BO44:BO53"/>
    <mergeCell ref="BP44:BS44"/>
    <mergeCell ref="BP6:BT6"/>
    <mergeCell ref="BO7:BO16"/>
    <mergeCell ref="BP7:BS7"/>
    <mergeCell ref="BP19:BT19"/>
    <mergeCell ref="BO20:BO29"/>
    <mergeCell ref="BP20:BS20"/>
    <mergeCell ref="C3:G3"/>
    <mergeCell ref="C4:G4"/>
    <mergeCell ref="BP80:BT80"/>
    <mergeCell ref="BO81:BO90"/>
    <mergeCell ref="BP81:BS81"/>
    <mergeCell ref="H3:L3"/>
    <mergeCell ref="H4:L4"/>
    <mergeCell ref="BP55:BT55"/>
    <mergeCell ref="BO56:BO65"/>
    <mergeCell ref="BP56:BS56"/>
    <mergeCell ref="BP67:BT67"/>
    <mergeCell ref="BO68:BO77"/>
    <mergeCell ref="BP68:BS68"/>
    <mergeCell ref="BP31:BT31"/>
    <mergeCell ref="BO32:BO41"/>
    <mergeCell ref="BP32:BS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Occupancy</vt:lpstr>
      <vt:lpstr>Occupancy Level </vt:lpstr>
      <vt:lpstr>SNF Payer Mix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Hershey, Jason</dc:creator>
  <cp:keywords/>
  <dc:description/>
  <cp:lastModifiedBy>Hershey, Jason</cp:lastModifiedBy>
  <dcterms:created xsi:type="dcterms:W3CDTF">2024-07-05T15:24:24Z</dcterms:created>
  <dcterms:modified xsi:type="dcterms:W3CDTF">2024-09-06T22:27:19Z</dcterms:modified>
  <cp:category/>
</cp:coreProperties>
</file>